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Cell_Flow_Assumptions" sheetId="10" state="visible" r:id="rId12"/>
    <sheet name="Pre_GEM_Consumables" sheetId="11" state="visible" r:id="rId13"/>
    <sheet name="Post_GEM_Consumables" sheetId="12" state="visible" r:id="rId14"/>
    <sheet name="Order_Totals" sheetId="13" state="visible" r:id="rId15"/>
    <sheet name="Buffer_Recipes" sheetId="14" state="visible" r:id="rId16"/>
    <sheet name="Unit_Conversions" sheetId="15" state="visible" r:id="rId17"/>
    <sheet name="Oligo_Catalog" sheetId="16" state="visible" r:id="rId18"/>
    <sheet name="Antibody_Catalog" sheetId="17" state="visible" r:id="rId19"/>
  </sheets>
  <definedNames>
    <definedName function="false" hidden="true" localSheetId="12" name="_xlnm._FilterDatabase" vbProcedure="false">Order_Totals!$A$1:$F$73</definedName>
    <definedName function="false" hidden="true" localSheetId="11" name="_xlnm._FilterDatabase" vbProcedure="false">Post_GEM_Consumables!$A$1:$O$84</definedName>
    <definedName function="false" hidden="true" localSheetId="10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<sst xmlns="http://schemas.openxmlformats.org/spreadsheetml/2006/main" count="2893" uniqueCount="1129">
  <si>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</si>
  <si>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</si>
  <si>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</si>
  <si>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</si>
  <si>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</si>
  <si>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</si>
  <si>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</si>
  <si>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</si>
  <si>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</si>
  <si>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</si>
  <si>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</si>
  <si>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</si>
  <si>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</si>
  <si>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</si>
  <si>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</si>
  <si>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</si>
  <si>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</si>
  <si>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</si>
  <si>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</si>
  <si>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</si>
  <si>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</si>
  <si>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</si>
  <si>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</si>
  <si>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</si>
  <si>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</si>
  <si>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</si>
  <si>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</si>
  <si>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</si>
  <si>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</si>
  <si>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</si>
  <si>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</si>
  <si>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</si>
  <si>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</si>
  <si>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</si>
  <si>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</si>
  <si>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</si>
  <si>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</si>
  <si>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</si>
  <si>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</si>
  <si>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</si>
  <si>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</si>
  <si>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</si>
  <si>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</si>
  <si>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</si>
  <si>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</si>
  <si>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</si>
  <si>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</si>
  <si>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</si>
  <si>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</si>
  <si>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</si>
  <si>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</si>
  <si>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</si>
  <si>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</si>
  <si>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</si>
  <si>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</si>
  <si>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</si>
  <si>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</si>
  <si>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</si>
  <si>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</si>
  <si>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</si>
  <si>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</si>
  <si>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</si>
  <si>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</si>
  <si>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</si>
  <si>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</si>
  <si>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</si>
  <si>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</si>
  <si>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</si>
  <si>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</si>
  <si>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</si>
  <si>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</si>
  <si>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</si>
  <si>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</si>
  <si>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</si>
  <si>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</si>
  <si>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</si>
  <si>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</si>
  <si>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</si>
  <si>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</si>
  <si>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</si>
  <si>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</si>
  <si>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</si>
  <si>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</si>
  <si>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</si>
  <si>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</si>
  <si>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</si>
  <si>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</si>
  <si>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</si>
  <si>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</si>
  <si>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</si>
  <si>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</si>
  <si>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</si>
  <si>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</si>
  <si>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</si>
  <si>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</si>
  <si>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</si>
  <si>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</si>
  <si>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</si>
  <si>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</si>
  <si>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</si>
  <si>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</si>
  <si>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</si>
  <si>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</si>
  <si>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</si>
  <si>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</si>
  <si>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</si>
  <si>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</si>
  <si>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</si>
  <si>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</si>
  <si>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</si>
  <si>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</si>
  <si>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ARCHITECTURE NOTE (updated):</t>
  </si>
  <si>
    <t xml:space="preserve">Live inventory, inventory transactions, and the experiment log now live in the separate</t>
  </si>
  <si>
    <t xml:space="preserve">Live_Inventory workbook on Google Drive (single source of truth). This schema holds only</t>
  </si>
  <si>
    <t xml:space="preserve">reference data: catalogs, consumables recipes, pricing, modality/protocol definitions, and calculators.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</si>
  <si>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</si>
  <si>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</si>
  <si>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</si>
  <si>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</si>
  <si>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</si>
  <si>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</si>
  <si>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</si>
  <si>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</si>
  <si>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</si>
  <si>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</si>
  <si>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</si>
  <si>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</si>
  <si>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</si>
  <si>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</si>
  <si>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</si>
  <si>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</si>
  <si>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</si>
  <si>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</si>
  <si>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</si>
  <si>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</si>
  <si>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</si>
  <si>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</si>
  <si>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</si>
  <si>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</si>
  <si>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</si>
  <si>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</si>
  <si>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</si>
  <si>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</si>
  <si>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</si>
  <si>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</si>
  <si>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</si>
  <si>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</si>
  <si>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</si>
  <si>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</si>
  <si>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</si>
  <si>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</si>
  <si>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</si>
  <si>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</si>
  <si>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</si>
  <si>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</si>
  <si>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</si>
  <si>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</si>
  <si>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</si>
  <si>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</si>
  <si>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</si>
  <si>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</si>
  <si>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</si>
  <si>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</si>
  <si>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</si>
  <si>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</si>
  <si>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</si>
  <si>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</si>
  <si>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</si>
  <si>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</si>
  <si>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</si>
  <si>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</si>
  <si>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</si>
  <si>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</si>
  <si>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</si>
  <si>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</si>
  <si>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</si>
  <si>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</si>
  <si>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</si>
  <si>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</si>
  <si>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</si>
  <si>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</si>
  <si>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</si>
  <si>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</si>
  <si>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</si>
  <si>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</si>
  <si>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</si>
  <si>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</si>
  <si>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</si>
  <si>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</si>
  <si>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</si>
  <si>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</si>
  <si>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</si>
  <si>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</si>
  <si>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</si>
  <si>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</si>
  <si>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</si>
  <si>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</si>
  <si>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</si>
  <si>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</si>
  <si>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</si>
  <si>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</si>
  <si>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</si>
  <si>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</si>
  <si>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</si>
  <si>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</si>
  <si>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</si>
  <si>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</si>
  <si>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</si>
  <si>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</si>
  <si>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</si>
  <si>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</si>
  <si>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</si>
  <si>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</si>
  <si>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</si>
  <si>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</si>
  <si>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</si>
  <si>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</si>
  <si>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</si>
  <si>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</si>
  <si>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</si>
  <si>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</si>
  <si>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</si>
  <si>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</si>
  <si>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</si>
  <si>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</si>
  <si>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</si>
  <si>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</si>
  <si>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</si>
  <si>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</si>
  <si>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</si>
  <si>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</si>
  <si>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</si>
  <si>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</si>
  <si>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</si>
  <si>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</si>
  <si>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</si>
  <si>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</si>
  <si>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</si>
  <si>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</si>
  <si>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</si>
  <si>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</si>
  <si>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</si>
  <si>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</si>
  <si>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</si>
  <si>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</si>
  <si>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</si>
  <si>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</si>
  <si>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</si>
  <si>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</si>
  <si>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</si>
  <si>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</si>
  <si>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</si>
  <si>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</si>
  <si>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</si>
  <si>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</si>
  <si>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</si>
  <si>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</si>
  <si>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</si>
  <si>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</si>
  <si>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</si>
  <si>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</si>
  <si>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</si>
  <si>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</si>
  <si>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</si>
  <si>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</si>
  <si>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</si>
  <si>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</si>
  <si>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</si>
  <si>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</si>
  <si>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</si>
  <si>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</si>
  <si>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</si>
  <si>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</si>
  <si>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</si>
  <si>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</si>
  <si>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</si>
  <si>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</si>
  <si>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</si>
  <si>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</si>
  <si>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</si>
  <si>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</si>
  <si>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</si>
  <si>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</si>
  <si>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</si>
  <si>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</si>
  <si>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</si>
  <si>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</si>
  <si>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</si>
  <si>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</si>
  <si>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</si>
  <si>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</si>
  <si>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</si>
  <si>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</si>
  <si>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</si>
  <si>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</si>
  <si>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</si>
  <si>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</si>
  <si>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</si>
  <si>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</si>
  <si>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</si>
  <si>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</si>
  <si>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</si>
  <si>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</si>
  <si>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</si>
  <si>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</si>
  <si>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</si>
  <si>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</si>
  <si>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</si>
  <si>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</si>
  <si>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</si>
  <si>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</si>
  <si>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</si>
  <si>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</si>
  <si>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</si>
  <si>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</si>
  <si>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</si>
  <si>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</si>
  <si>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</si>
  <si>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</si>
  <si>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</si>
  <si>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</si>
  <si>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</si>
  <si>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</si>
  <si>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</si>
  <si>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</si>
  <si>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</si>
  <si>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</si>
  <si>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</si>
  <si>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</si>
  <si>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</si>
  <si>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</si>
  <si>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</si>
  <si>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</si>
  <si>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</si>
  <si>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</si>
  <si>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</si>
  <si>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</si>
  <si>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</si>
  <si>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</si>
  <si>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</si>
  <si>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</si>
  <si>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</si>
  <si>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</si>
  <si>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</si>
  <si>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</si>
  <si>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</si>
  <si>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</si>
  <si>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</si>
  <si>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</si>
  <si>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</si>
  <si>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</si>
  <si>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</si>
  <si>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</si>
  <si>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</si>
  <si>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</si>
  <si>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</si>
  <si>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</si>
  <si>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</si>
  <si>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</si>
  <si>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</si>
  <si>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</si>
  <si>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</si>
  <si>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</si>
  <si>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</si>
  <si>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</si>
  <si>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</si>
  <si>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</si>
  <si>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</si>
  <si>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</si>
  <si>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</si>
  <si>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</si>
  <si>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</si>
  <si>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</si>
  <si>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</si>
  <si>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</si>
  <si>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</si>
  <si>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</si>
  <si>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</si>
  <si>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</si>
  <si>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</si>
  <si>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</si>
  <si>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</si>
  <si>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</si>
  <si>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</si>
  <si>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</si>
  <si>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</si>
  <si>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</si>
  <si>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</si>
  <si>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</si>
  <si>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</si>
  <si>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</si>
  <si>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</si>
  <si>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</si>
  <si>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</si>
  <si>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</si>
  <si>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</si>
  <si>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</si>
  <si>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</si>
  <si>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</si>
  <si>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</si>
  <si>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</si>
  <si>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</si>
  <si>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</si>
  <si>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</si>
  <si>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</si>
  <si>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</si>
  <si>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</si>
  <si>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</si>
  <si>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</si>
  <si>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</si>
  <si>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</si>
  <si>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</si>
  <si>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</si>
  <si>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</si>
  <si>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</si>
  <si>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</si>
  <si>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</si>
  <si>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</si>
  <si>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</si>
  <si>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</si>
  <si>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</si>
  <si>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</si>
  <si>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</si>
  <si>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</si>
  <si>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</si>
  <si>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</si>
  <si>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</si>
  <si>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</si>
  <si>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</si>
  <si>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</si>
  <si>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</si>
  <si>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</si>
  <si>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</si>
  <si>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</si>
  <si>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</si>
  <si>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</si>
  <si>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</si>
  <si>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</si>
  <si>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</si>
  <si>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</si>
  <si>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</si>
  <si>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</si>
  <si>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</si>
  <si>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</si>
  <si>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</si>
  <si>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</si>
  <si>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</si>
  <si>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</si>
  <si>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</si>
  <si>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</si>
  <si>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</si>
  <si>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</si>
  <si>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</si>
  <si>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</si>
  <si>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</si>
  <si>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</si>
  <si>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</si>
  <si>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</si>
  <si>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</si>
  <si>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</si>
  <si>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</si>
  <si>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</si>
  <si>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</si>
  <si>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</si>
  <si>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</si>
  <si>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</si>
  <si>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</si>
  <si>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</si>
  <si>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</si>
  <si>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</si>
  <si>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</si>
  <si>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</si>
  <si>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</si>
  <si>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</si>
  <si>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</si>
  <si>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</si>
  <si>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</si>
  <si>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</si>
  <si>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</si>
  <si>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</si>
  <si>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</si>
  <si>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</si>
  <si>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</si>
  <si>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</si>
  <si>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</si>
  <si>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</si>
  <si>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</si>
  <si>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</si>
  <si>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</si>
  <si>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</si>
  <si>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</si>
  <si>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</si>
  <si>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</si>
  <si>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</si>
  <si>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</si>
  <si>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</si>
  <si>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</si>
  <si>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</si>
  <si>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</si>
  <si>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</si>
  <si>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</si>
  <si>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</si>
  <si>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</si>
  <si>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</si>
  <si>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</si>
  <si>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</si>
  <si>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</si>
  <si>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</si>
  <si>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</si>
  <si>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</si>
  <si>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</si>
  <si>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</si>
  <si>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</si>
  <si>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</si>
  <si>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</si>
  <si>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</si>
  <si>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</si>
  <si>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</si>
  <si>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</si>
  <si>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</si>
  <si>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</si>
  <si>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</si>
  <si>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</si>
  <si>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</si>
  <si>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</si>
  <si>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</si>
  <si>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</si>
  <si>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</si>
  <si>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</si>
  <si>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</si>
  <si>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</si>
  <si>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</si>
  <si>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</si>
  <si>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</si>
  <si>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</si>
  <si>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</si>
  <si>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</si>
  <si>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</si>
  <si>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</si>
  <si>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</si>
  <si>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</si>
  <si>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</si>
  <si>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</si>
  <si>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</si>
  <si>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</si>
  <si>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</si>
  <si>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</si>
  <si>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</si>
  <si>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</si>
  <si>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</si>
  <si>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</si>
  <si>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</si>
  <si>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</si>
  <si>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</si>
  <si>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</si>
  <si>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</si>
  <si>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</si>
  <si>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</si>
  <si>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</si>
  <si>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</si>
  <si>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</si>
  <si>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</si>
  <si>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</si>
  <si>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</si>
  <si>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</si>
  <si>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</si>
  <si>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</si>
  <si>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</si>
  <si>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</si>
  <si>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</si>
  <si>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</si>
  <si>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</si>
  <si>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</si>
  <si>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</si>
  <si>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</si>
  <si>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</si>
  <si>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</si>
  <si>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</si>
  <si>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</si>
  <si>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</si>
  <si>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</si>
  <si>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</si>
  <si>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</si>
  <si>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</si>
  <si>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</si>
  <si>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</si>
  <si>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</si>
  <si>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</si>
  <si>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</si>
  <si>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</si>
  <si>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</si>
  <si>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</si>
  <si>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</si>
  <si>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</si>
  <si>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</si>
  <si>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</si>
  <si>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</si>
  <si>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</si>
  <si>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</si>
  <si>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</si>
  <si>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</si>
  <si>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</si>
  <si>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</si>
  <si>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</si>
  <si>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</si>
  <si>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</si>
  <si>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</si>
  <si>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</si>
  <si>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</si>
  <si>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</si>
  <si>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</si>
  <si>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</si>
  <si>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</si>
  <si>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</si>
  <si>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</si>
  <si>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</si>
  <si>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</si>
  <si>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</si>
  <si>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</si>
  <si>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</si>
  <si>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</si>
  <si>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</si>
  <si>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</si>
  <si>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</si>
  <si>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</si>
  <si>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</si>
  <si>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</si>
  <si>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</si>
  <si>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</si>
  <si>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</si>
  <si>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</si>
  <si>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</si>
  <si>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</si>
  <si>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</si>
  <si>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</si>
  <si>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</si>
  <si>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</si>
  <si>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</si>
  <si>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</si>
  <si>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</si>
  <si>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</si>
  <si>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</si>
  <si>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</si>
  <si>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</si>
  <si>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</si>
  <si>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</si>
  <si>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</si>
  <si>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</si>
  <si>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</si>
  <si>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</si>
  <si>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</si>
  <si>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</si>
  <si>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</si>
  <si>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</si>
  <si>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</si>
  <si>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</si>
  <si>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</si>
  <si>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</si>
  <si>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</si>
  <si>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</si>
  <si>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</si>
  <si>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</si>
  <si>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</si>
  <si>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</si>
  <si>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</si>
  <si>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</si>
  <si>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</si>
  <si>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</si>
  <si>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</si>
  <si>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</si>
  <si>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</si>
  <si>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</si>
  <si>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</si>
  <si>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</si>
  <si>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</si>
  <si>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</si>
  <si>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</si>
  <si>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</si>
  <si>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</si>
  <si>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</si>
  <si>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</si>
  <si>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</si>
  <si>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</si>
  <si>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</si>
  <si>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</si>
  <si>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</si>
  <si>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</si>
  <si>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</si>
  <si>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</si>
  <si>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</si>
  <si>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</si>
  <si>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</si>
  <si>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</si>
  <si>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</si>
  <si>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</si>
  <si>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</si>
  <si>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</si>
  <si>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</si>
  <si>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</si>
  <si>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</si>
  <si>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</si>
  <si>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</si>
  <si>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</si>
  <si>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</si>
  <si>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</si>
  <si>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</si>
  <si>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</si>
  <si>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</si>
  <si>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</si>
  <si>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</si>
  <si>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</si>
  <si>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</si>
  <si>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</si>
  <si>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</si>
  <si>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</si>
  <si>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</si>
  <si>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</si>
  <si>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</si>
  <si>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</si>
  <si>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</si>
  <si>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</si>
  <si>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</si>
  <si>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</si>
  <si>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</si>
  <si>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</si>
  <si>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</si>
  <si>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</si>
  <si>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</si>
  <si>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</si>
  <si>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</si>
  <si>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</si>
  <si>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</si>
  <si>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</si>
  <si>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</si>
  <si>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</si>
  <si>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</si>
  <si>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</si>
  <si>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</si>
  <si>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</si>
  <si>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</si>
  <si>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</si>
  <si>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</si>
  <si>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</si>
  <si>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</si>
  <si>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</si>
  <si>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</si>
  <si>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</si>
  <si>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</si>
  <si>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</si>
  <si>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</si>
  <si>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</si>
  <si>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</si>
  <si>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</si>
  <si>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</si>
  <si>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</si>
  <si>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</si>
  <si>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</si>
  <si>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</si>
  <si>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</si>
  <si>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</si>
  <si>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</si>
  <si>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</si>
  <si>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</si>
  <si>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</si>
  <si>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</si>
  <si>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</si>
  <si>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</si>
  <si>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</si>
  <si>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</si>
  <si>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</si>
  <si>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</si>
  <si>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</si>
  <si>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</si>
  <si>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</si>
  <si>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</si>
  <si>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</si>
  <si>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</si>
  <si>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</si>
  <si>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</si>
  <si>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</si>
  <si>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</si>
  <si>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</si>
  <si>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</si>
  <si>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</si>
  <si>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</si>
  <si>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</si>
  <si>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</si>
  <si>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</si>
  <si>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</si>
  <si>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</si>
  <si>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</si>
  <si>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</si>
  <si>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</si>
  <si>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</si>
  <si>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</si>
  <si>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</si>
  <si>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</si>
  <si>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</si>
  <si>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</si>
  <si>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</si>
  <si>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</si>
  <si>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</si>
  <si>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</si>
  <si>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</si>
  <si>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</si>
  <si>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</si>
  <si>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</si>
  <si>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</si>
  <si>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</si>
  <si>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</si>
  <si>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</si>
  <si>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</si>
  <si>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</si>
  <si>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</si>
  <si>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</si>
  <si>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</si>
  <si>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</si>
  <si>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</si>
  <si>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</si>
  <si>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</si>
  <si>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</si>
  <si>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</si>
  <si>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</si>
  <si>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</si>
  <si>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</si>
  <si>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</si>
  <si>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</si>
  <si>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</si>
  <si>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</si>
  <si>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</si>
  <si>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</si>
  <si>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</si>
  <si>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</si>
  <si>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</si>
  <si>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</si>
  <si>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</si>
  <si>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</si>
  <si>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</si>
  <si>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</si>
  <si>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</si>
  <si>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</si>
  <si>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</si>
  <si>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</si>
  <si>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</si>
  <si>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</si>
  <si>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</si>
  <si>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</si>
  <si>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</si>
  <si>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</si>
  <si>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</si>
  <si>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</si>
  <si>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</si>
  <si>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</si>
  <si>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</si>
  <si>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</si>
  <si>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</si>
  <si>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</si>
  <si>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</si>
  <si>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</si>
  <si>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</si>
  <si>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</si>
  <si>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</si>
  <si>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</si>
  <si>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</si>
  <si>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</si>
  <si>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</si>
  <si>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</si>
  <si>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</si>
  <si>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</si>
  <si>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</si>
  <si>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</si>
  <si>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</si>
  <si>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</si>
  <si>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</si>
  <si>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</si>
  <si>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</si>
  <si>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</si>
  <si>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</si>
  <si>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</si>
  <si>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</si>
  <si>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</si>
  <si>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</si>
  <si>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</si>
  <si>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</si>
  <si>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</si>
  <si>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</si>
  <si>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</si>
  <si>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</si>
  <si>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</si>
  <si>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</si>
  <si>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</si>
  <si>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</si>
  <si>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</si>
  <si>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</si>
  <si>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</si>
  <si>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</si>
  <si>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</si>
  <si>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</si>
  <si>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</si>
  <si>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</si>
  <si>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</si>
  <si>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</si>
  <si>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</si>
  <si>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</si>
  <si>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(lane)</t>
  </si>
  <si>
    <t xml:space="preserve">lane</t>
  </si>
  <si>
    <t xml:space="preserve">Thawsome</t>
  </si>
  <si>
    <t xml:space="preserve">RPMI (mL)</t>
  </si>
  <si>
    <t xml:space="preserve">RPMI base for both media: thaw (J2) + low (J3). 1 mL RPMI per mL media.</t>
  </si>
  <si>
    <t xml:space="preserve">Dnase</t>
  </si>
  <si>
    <t xml:space="preserve">DNase from RPMI-DNase media: thaw 0.1 mg/mL + low 0.025 mg/mL (10 mg/mL stock at recipe dilution).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</si>
  <si>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</si>
  <si>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</si>
  <si>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</si>
  <si>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</si>
  <si>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</si>
  <si>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</si>
  <si>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</si>
  <si>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</si>
  <si>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</si>
  <si>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</si>
  <si>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</si>
  <si>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</si>
  <si>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</si>
  <si>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</si>
  <si>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</si>
  <si>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</si>
  <si>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</si>
  <si>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</si>
  <si>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</si>
  <si>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</si>
  <si>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 [ADAPTED to SOP: 19 mL/pool/modality (was 14).]</t>
  </si>
  <si>
    <t xml:space="preserve">16% Formaldehyde</t>
  </si>
  <si>
    <t xml:space="preserve">1M Tris-HCl (pH 7.5)</t>
  </si>
  <si>
    <t xml:space="preserve">10% NP40/IPEGAL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</si>
  <si>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</si>
  <si>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</si>
  <si>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</si>
  <si>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</si>
  <si>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</si>
  <si>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</si>
  <si>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</si>
  <si>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</si>
  <si>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</si>
  <si>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</si>
  <si>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</si>
  <si>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</si>
  <si>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</si>
  <si>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</si>
  <si>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</si>
  <si>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</si>
  <si>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</si>
  <si>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</si>
  <si>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</si>
  <si>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</si>
  <si>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</si>
  <si>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</si>
  <si>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</si>
  <si>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</si>
  <si>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</si>
  <si>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</si>
  <si>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</si>
  <si>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</si>
  <si>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</si>
  <si>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</si>
  <si>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</si>
  <si>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</si>
  <si>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</si>
  <si>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</si>
  <si>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</si>
  <si>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</si>
  <si>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</si>
  <si>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</si>
  <si>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</si>
  <si>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</si>
  <si>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</si>
  <si>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</si>
  <si>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</si>
  <si>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</si>
  <si>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</si>
  <si>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</si>
  <si>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</si>
  <si>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</si>
  <si>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</si>
  <si>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</si>
  <si>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</si>
  <si>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</si>
  <si>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</si>
  <si>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</si>
  <si>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</si>
  <si>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</si>
  <si>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</si>
  <si>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</si>
  <si>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</si>
  <si>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</si>
  <si>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</si>
  <si>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</si>
  <si>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</si>
  <si>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</si>
  <si>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</si>
  <si>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</si>
  <si>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</si>
  <si>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</si>
  <si>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</si>
  <si>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</si>
  <si>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</si>
  <si>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</si>
  <si>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</si>
  <si>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</si>
  <si>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</si>
  <si>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</si>
  <si>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</si>
  <si>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</si>
  <si>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</si>
  <si>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</si>
  <si>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</si>
  <si>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</si>
  <si>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</si>
  <si>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</si>
  <si>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</si>
  <si>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</si>
  <si>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</si>
  <si>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</si>
  <si>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</si>
  <si>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</si>
  <si>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</si>
  <si>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</si>
  <si>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</si>
  <si>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</si>
  <si>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</si>
  <si>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</si>
  <si>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</si>
  <si>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</si>
  <si>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</si>
  <si>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</si>
  <si>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</si>
  <si>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</si>
  <si>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</si>
  <si>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</si>
  <si>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</si>
  <si>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</si>
  <si>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</si>
  <si>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</si>
  <si>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</si>
  <si>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</si>
  <si>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</si>
  <si>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</si>
  <si>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</si>
  <si>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10% BSA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</si>
  <si>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</si>
  <si>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</si>
  <si>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</si>
  <si>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</si>
  <si>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</si>
  <si>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</si>
  <si>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</si>
  <si>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</si>
  <si>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</si>
  <si>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</si>
  <si>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</si>
  <si>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</si>
  <si>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bottle</t>
  </si>
  <si>
    <t xml:space="preserve">strainer</t>
  </si>
  <si>
    <t xml:space="preserve">rxn</t>
  </si>
  <si>
    <t xml:space="preserve">lane-rxn</t>
  </si>
  <si>
    <t xml:space="preserve">Oligo_Catalog</t>
  </si>
  <si>
    <t xml:space="preserve">Admin-only. Sequencing/index oligos (e.g. RPIxx, D7xx). Fill in vendor/catalog#/price. IDs are placeholders (OL###).</t>
  </si>
  <si>
    <t xml:space="preserve">OL001</t>
  </si>
  <si>
    <t xml:space="preserve">OL002</t>
  </si>
  <si>
    <t xml:space="preserve">OL003</t>
  </si>
  <si>
    <t xml:space="preserve">OL004</t>
  </si>
  <si>
    <t xml:space="preserve">OL005</t>
  </si>
  <si>
    <t xml:space="preserve">OL006</t>
  </si>
  <si>
    <t xml:space="preserve">OL007</t>
  </si>
  <si>
    <t xml:space="preserve">OL008</t>
  </si>
  <si>
    <t xml:space="preserve">OL009</t>
  </si>
  <si>
    <t xml:space="preserve">OL010</t>
  </si>
  <si>
    <t xml:space="preserve">OL011</t>
  </si>
  <si>
    <t xml:space="preserve">OL012</t>
  </si>
  <si>
    <t xml:space="preserve">OL013</t>
  </si>
  <si>
    <t xml:space="preserve">OL014</t>
  </si>
  <si>
    <t xml:space="preserve">OL015</t>
  </si>
  <si>
    <t xml:space="preserve">OL016</t>
  </si>
  <si>
    <t xml:space="preserve">OL017</t>
  </si>
  <si>
    <t xml:space="preserve">OL018</t>
  </si>
  <si>
    <t xml:space="preserve">OL019</t>
  </si>
  <si>
    <t xml:space="preserve">OL020</t>
  </si>
  <si>
    <t xml:space="preserve">OL021</t>
  </si>
  <si>
    <t xml:space="preserve">OL022</t>
  </si>
  <si>
    <t xml:space="preserve">OL023</t>
  </si>
  <si>
    <t xml:space="preserve">OL024</t>
  </si>
  <si>
    <t xml:space="preserve">OL025</t>
  </si>
  <si>
    <t xml:space="preserve">OL026</t>
  </si>
  <si>
    <t xml:space="preserve">OL027</t>
  </si>
  <si>
    <t xml:space="preserve">OL028</t>
  </si>
  <si>
    <t xml:space="preserve">OL029</t>
  </si>
  <si>
    <t xml:space="preserve">OL030</t>
  </si>
  <si>
    <t xml:space="preserve">Antibody_Catalog</t>
  </si>
  <si>
    <t xml:space="preserve">Admin-only. Flow antibodies, HTOs, and TotalSeq staining cocktails. Fill in vendor/catalog#/price. IDs are placeholders (AB###).</t>
  </si>
  <si>
    <t xml:space="preserve">AB001</t>
  </si>
  <si>
    <t xml:space="preserve">AB002</t>
  </si>
  <si>
    <t xml:space="preserve">AB003</t>
  </si>
  <si>
    <t xml:space="preserve">AB004</t>
  </si>
  <si>
    <t xml:space="preserve">AB005</t>
  </si>
  <si>
    <t xml:space="preserve">AB006</t>
  </si>
  <si>
    <t xml:space="preserve">AB007</t>
  </si>
  <si>
    <t xml:space="preserve">AB008</t>
  </si>
  <si>
    <t xml:space="preserve">AB009</t>
  </si>
  <si>
    <t xml:space="preserve">AB010</t>
  </si>
  <si>
    <t xml:space="preserve">AB011</t>
  </si>
  <si>
    <t xml:space="preserve">AB012</t>
  </si>
  <si>
    <t xml:space="preserve">AB013</t>
  </si>
  <si>
    <t xml:space="preserve">AB014</t>
  </si>
  <si>
    <t xml:space="preserve">AB015</t>
  </si>
  <si>
    <t xml:space="preserve">AB016</t>
  </si>
  <si>
    <t xml:space="preserve">AB017</t>
  </si>
  <si>
    <t xml:space="preserve">AB018</t>
  </si>
  <si>
    <t xml:space="preserve">AB019</t>
  </si>
  <si>
    <t xml:space="preserve">AB020</t>
  </si>
  <si>
    <t xml:space="preserve">AB021</t>
  </si>
  <si>
    <t xml:space="preserve">AB022</t>
  </si>
  <si>
    <t xml:space="preserve">AB023</t>
  </si>
  <si>
    <t xml:space="preserve">AB024</t>
  </si>
  <si>
    <t xml:space="preserve">AB025</t>
  </si>
  <si>
    <t xml:space="preserve">AB026</t>
  </si>
  <si>
    <t xml:space="preserve">AB027</t>
  </si>
  <si>
    <t xml:space="preserve">AB028</t>
  </si>
  <si>
    <t xml:space="preserve">AB029</t>
  </si>
  <si>
    <t xml:space="preserve">AB030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</si>
</sst>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0.00%"/>
    <numFmt numFmtId="171" formatCode="0.00E+00"/>
    <numFmt numFmtId="172" formatCode="0.####"/>
    <numFmt numFmtId="173" formatCode="0.00"/>
    <numFmt numFmtId="174" formatCode="General"/>
    <numFmt numFmtId="175" formatCode="\$#,##0.00####"/>
    <numFmt numFmtId="176" formatCode="0.#####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color rgb="FF2E4A6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b val="true"/>
      <sz val="13"/>
      <name val="Arial"/>
      <family val="2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2"/>
      <color rgb="FF2E4A62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rgb="FF2E4A62"/>
        <bgColor rgb="FF1D4E89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1">
    <dxf>
      <fill>
        <patternFill patternType="solid">
          <fgColor rgb="FF2E4A62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6E3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5F4EF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FDEADA"/>
      <rgbColor rgb="FFD5D5CE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2E4A62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"/>
    <col collapsed="false" customWidth="true" hidden="false" outlineLevel="0" max="4" min="4" style="1" width="24"/>
    <col collapsed="false" customWidth="true" hidden="false" outlineLevel="0" max="5" min="5" style="1" width="10"/>
    <col collapsed="false" customWidth="true" hidden="false" outlineLevel="0" max="7" min="7" style="1" width="22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D4" s="4" t="s">
        <v>4</v>
      </c>
      <c r="E4" s="4" t="s">
        <v>5</v>
      </c>
      <c r="G4" s="4" t="s">
        <v>6</v>
      </c>
      <c r="H4" s="4" t="s">
        <v>7</v>
      </c>
    </row>
    <row r="5" customFormat="false" ht="15" hidden="false" customHeight="true" outlineLevel="0" collapsed="false">
      <c r="A5" s="5" t="s">
        <v>8</v>
      </c>
      <c r="B5" s="6" t="n">
        <v>54</v>
      </c>
      <c r="D5" s="5" t="s">
        <v>9</v>
      </c>
      <c r="E5" s="5" t="n">
        <f aca="false">Inputs!$B$5</f>
        <v>54</v>
      </c>
      <c r="G5" s="5" t="s">
        <v>9</v>
      </c>
      <c r="H5" s="7" t="n">
        <f aca="false">SUMIFS(Pre_GEM_Consumables!$N$2:$N$102,Pre_GEM_Consumables!$E$2:$E$102,G5)+SUMIFS(Post_GEM_Consumables!$N$2:$N$97,Post_GEM_Consumables!$E$2:$E$97,G5)</f>
        <v>2205.131808</v>
      </c>
    </row>
    <row r="6" customFormat="false" ht="15" hidden="false" customHeight="true" outlineLevel="0" collapsed="false">
      <c r="A6" s="5" t="s">
        <v>10</v>
      </c>
      <c r="B6" s="6" t="n">
        <v>6</v>
      </c>
      <c r="D6" s="5" t="s">
        <v>11</v>
      </c>
      <c r="E6" s="5" t="n">
        <f aca="false">Inputs!$B$6</f>
        <v>6</v>
      </c>
      <c r="G6" s="5" t="s">
        <v>11</v>
      </c>
      <c r="H6" s="7" t="n">
        <f aca="false">SUMIFS(Pre_GEM_Consumables!$N$2:$N$102,Pre_GEM_Consumables!$E$2:$E$102,G6)+SUMIFS(Post_GEM_Consumables!$N$2:$N$97,Post_GEM_Consumables!$E$2:$E$97,G6)</f>
        <v>819.26207</v>
      </c>
    </row>
    <row r="7" customFormat="false" ht="15" hidden="false" customHeight="true" outlineLevel="0" collapsed="false">
      <c r="A7" s="5" t="s">
        <v>12</v>
      </c>
      <c r="B7" s="6" t="n">
        <v>1</v>
      </c>
      <c r="D7" s="5" t="s">
        <v>13</v>
      </c>
      <c r="E7" s="5" t="n">
        <f aca="false">Inputs!$B$7</f>
        <v>1</v>
      </c>
      <c r="G7" s="5" t="s">
        <v>13</v>
      </c>
      <c r="H7" s="7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5" t="s">
        <v>14</v>
      </c>
      <c r="B8" s="6" t="n">
        <v>1</v>
      </c>
      <c r="D8" s="5" t="s">
        <v>15</v>
      </c>
      <c r="E8" s="5" t="n">
        <f aca="false">Inputs!$B$8</f>
        <v>1</v>
      </c>
      <c r="G8" s="5" t="s">
        <v>16</v>
      </c>
      <c r="H8" s="7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5" t="s">
        <v>17</v>
      </c>
      <c r="B9" s="6" t="n">
        <v>3</v>
      </c>
      <c r="D9" s="5" t="s">
        <v>18</v>
      </c>
      <c r="E9" s="5" t="n">
        <f aca="false">Inputs!$B$9</f>
        <v>3</v>
      </c>
      <c r="G9" s="5" t="s">
        <v>18</v>
      </c>
      <c r="H9" s="7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5" t="s">
        <v>19</v>
      </c>
      <c r="B10" s="6" t="n">
        <v>8</v>
      </c>
      <c r="D10" s="5" t="s">
        <v>16</v>
      </c>
      <c r="E10" s="5" t="n">
        <f aca="false">Inputs!$B$10</f>
        <v>8</v>
      </c>
      <c r="G10" s="5" t="s">
        <v>20</v>
      </c>
      <c r="H10" s="7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5" t="s">
        <v>21</v>
      </c>
      <c r="B11" s="6" t="n">
        <v>8</v>
      </c>
      <c r="D11" s="5" t="s">
        <v>22</v>
      </c>
      <c r="E11" s="5" t="n">
        <f aca="false">Inputs!$B$11</f>
        <v>8</v>
      </c>
      <c r="G11" s="5" t="s">
        <v>22</v>
      </c>
      <c r="H11" s="7" t="n">
        <f aca="false">SUMIFS(Pre_GEM_Consumables!$N$2:$N$102,Pre_GEM_Consumables!$E$2:$E$102,G11)+SUMIFS(Post_GEM_Consumables!$N$2:$N$97,Post_GEM_Consumables!$E$2:$E$97,G11)</f>
        <v>13743.3683536417</v>
      </c>
    </row>
    <row r="12" customFormat="false" ht="15" hidden="false" customHeight="true" outlineLevel="0" collapsed="false">
      <c r="A12" s="5" t="s">
        <v>23</v>
      </c>
      <c r="B12" s="6" t="n">
        <v>2</v>
      </c>
      <c r="D12" s="5" t="s">
        <v>24</v>
      </c>
      <c r="E12" s="5" t="n">
        <f aca="false">Inputs!$B$12</f>
        <v>2</v>
      </c>
      <c r="G12" s="5" t="s">
        <v>25</v>
      </c>
      <c r="H12" s="7" t="n">
        <f aca="false">SUMIFS(Pre_GEM_Consumables!$N$2:$N$102,Pre_GEM_Consumables!$E$2:$E$102,G12)+SUMIFS(Post_GEM_Consumables!$N$2:$N$97,Post_GEM_Consumables!$E$2:$E$97,G12)</f>
        <v>838.899703253333</v>
      </c>
    </row>
    <row r="13" customFormat="false" ht="15" hidden="false" customHeight="true" outlineLevel="0" collapsed="false">
      <c r="A13" s="5" t="s">
        <v>26</v>
      </c>
      <c r="B13" s="6" t="n">
        <v>8</v>
      </c>
      <c r="D13" s="5" t="s">
        <v>25</v>
      </c>
      <c r="E13" s="5" t="n">
        <f aca="false">Inputs!$B$13</f>
        <v>8</v>
      </c>
      <c r="G13" s="5" t="s">
        <v>27</v>
      </c>
      <c r="H13" s="7" t="n">
        <f aca="false">SUMIFS(Pre_GEM_Consumables!$N$2:$N$102,Pre_GEM_Consumables!$E$2:$E$102,G13)+SUMIFS(Post_GEM_Consumables!$N$2:$N$97,Post_GEM_Consumables!$E$2:$E$97,G13)</f>
        <v>1265.98062682667</v>
      </c>
    </row>
    <row r="14" customFormat="false" ht="15" hidden="false" customHeight="true" outlineLevel="0" collapsed="false">
      <c r="A14" s="5" t="s">
        <v>28</v>
      </c>
      <c r="B14" s="6" t="n">
        <v>8</v>
      </c>
      <c r="D14" s="5" t="s">
        <v>27</v>
      </c>
      <c r="E14" s="5" t="n">
        <f aca="false">Inputs!$B$14</f>
        <v>8</v>
      </c>
      <c r="G14" s="5" t="s">
        <v>29</v>
      </c>
      <c r="H14" s="7" t="n">
        <f aca="false">SUMIFS(Pre_GEM_Consumables!$N$2:$N$102,Pre_GEM_Consumables!$E$2:$E$102,G14)+SUMIFS(Post_GEM_Consumables!$N$2:$N$97,Post_GEM_Consumables!$E$2:$E$97,G14)</f>
        <v>499.342381706667</v>
      </c>
    </row>
    <row r="15" customFormat="false" ht="15" hidden="false" customHeight="true" outlineLevel="0" collapsed="false">
      <c r="A15" s="5" t="s">
        <v>30</v>
      </c>
      <c r="B15" s="6" t="n">
        <v>8</v>
      </c>
      <c r="D15" s="5" t="s">
        <v>29</v>
      </c>
      <c r="E15" s="5" t="n">
        <f aca="false">Inputs!$B$15</f>
        <v>8</v>
      </c>
      <c r="G15" s="5" t="s">
        <v>31</v>
      </c>
      <c r="H15" s="7" t="n">
        <f aca="false">SUMIFS(Pre_GEM_Consumables!$N$2:$N$102,Pre_GEM_Consumables!$E$2:$E$102,G15)+SUMIFS(Post_GEM_Consumables!$N$2:$N$97,Post_GEM_Consumables!$E$2:$E$97,G15)</f>
        <v>3555.59768872</v>
      </c>
    </row>
    <row r="16" customFormat="false" ht="15" hidden="false" customHeight="true" outlineLevel="0" collapsed="false">
      <c r="A16" s="5" t="s">
        <v>32</v>
      </c>
      <c r="B16" s="6" t="n">
        <v>2</v>
      </c>
      <c r="D16" s="5" t="s">
        <v>33</v>
      </c>
      <c r="E16" s="5" t="n">
        <f aca="false">Inputs!$B$16</f>
        <v>2</v>
      </c>
      <c r="G16" s="5" t="s">
        <v>33</v>
      </c>
      <c r="H16" s="7" t="n">
        <f aca="false">SUMIFS(Pre_GEM_Consumables!$N$2:$N$102,Pre_GEM_Consumables!$E$2:$E$102,G16)+SUMIFS(Post_GEM_Consumables!$N$2:$N$97,Post_GEM_Consumables!$E$2:$E$97,G16)</f>
        <v>25.04997924</v>
      </c>
    </row>
    <row r="17" customFormat="false" ht="15" hidden="false" customHeight="true" outlineLevel="0" collapsed="false">
      <c r="A17" s="5" t="s">
        <v>34</v>
      </c>
      <c r="B17" s="6" t="n">
        <v>2</v>
      </c>
      <c r="D17" s="5" t="s">
        <v>31</v>
      </c>
      <c r="E17" s="5" t="n">
        <f aca="false">Inputs!$B$17</f>
        <v>2</v>
      </c>
      <c r="G17" s="5" t="s">
        <v>24</v>
      </c>
      <c r="H17" s="7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5" t="s">
        <v>35</v>
      </c>
      <c r="B18" s="6" t="n">
        <v>1</v>
      </c>
      <c r="D18" s="5" t="s">
        <v>20</v>
      </c>
      <c r="E18" s="5" t="n">
        <f aca="false">Inputs!$B$18</f>
        <v>1</v>
      </c>
      <c r="G18" s="5" t="s">
        <v>36</v>
      </c>
      <c r="H18" s="5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5"/>
      <c r="B19" s="5"/>
      <c r="G19" s="5" t="s">
        <v>37</v>
      </c>
      <c r="H19" s="5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5" t="s">
        <v>38</v>
      </c>
      <c r="B20" s="8" t="n">
        <v>0.1</v>
      </c>
      <c r="G20" s="5" t="s">
        <v>39</v>
      </c>
      <c r="H20" s="5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5" t="s">
        <v>40</v>
      </c>
      <c r="B21" s="6" t="n">
        <v>0</v>
      </c>
      <c r="D21" s="5" t="s">
        <v>36</v>
      </c>
      <c r="E21" s="5" t="n">
        <f aca="false">Inputs!$B$21</f>
        <v>0</v>
      </c>
    </row>
    <row r="22" customFormat="false" ht="14.25" hidden="false" customHeight="true" outlineLevel="0" collapsed="false">
      <c r="A22" s="5" t="s">
        <v>41</v>
      </c>
      <c r="B22" s="6" t="n">
        <v>0</v>
      </c>
      <c r="D22" s="5" t="s">
        <v>37</v>
      </c>
      <c r="E22" s="5" t="n">
        <f aca="false">Inputs!$B$22</f>
        <v>0</v>
      </c>
    </row>
    <row r="23" customFormat="false" ht="14.25" hidden="false" customHeight="true" outlineLevel="0" collapsed="false">
      <c r="A23" s="5" t="s">
        <v>42</v>
      </c>
      <c r="B23" s="6" t="n">
        <v>0</v>
      </c>
      <c r="D23" s="5" t="s">
        <v>39</v>
      </c>
      <c r="E23" s="5" t="n">
        <f aca="false">Inputs!$B$23</f>
        <v>0</v>
      </c>
    </row>
    <row r="24" customFormat="false" ht="14.25" hidden="false" customHeight="true" outlineLevel="0" collapsed="false">
      <c r="A24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8"/>
  </cols>
  <sheetData>
    <row r="1" customFormat="false" ht="19.5" hidden="false" customHeight="true" outlineLevel="0" collapsed="false">
      <c r="A1" s="9" t="s">
        <v>44</v>
      </c>
    </row>
    <row r="2" customFormat="false" ht="15" hidden="false" customHeight="true" outlineLevel="0" collapsed="false">
      <c r="A2" s="10" t="s">
        <v>45</v>
      </c>
    </row>
    <row r="4" customFormat="false" ht="31.5" hidden="false" customHeight="tru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57" hidden="false" customHeight="true" outlineLevel="0" collapsed="false">
      <c r="A5" s="12" t="s">
        <v>50</v>
      </c>
      <c r="B5" s="12" t="s">
        <v>51</v>
      </c>
      <c r="C5" s="12" t="s">
        <v>52</v>
      </c>
      <c r="D5" s="12" t="s">
        <v>53</v>
      </c>
    </row>
    <row r="6" customFormat="false" ht="68.25" hidden="false" customHeight="true" outlineLevel="0" collapsed="false">
      <c r="A6" s="12" t="s">
        <v>54</v>
      </c>
      <c r="B6" s="12" t="s">
        <v>55</v>
      </c>
      <c r="C6" s="12" t="s">
        <v>56</v>
      </c>
      <c r="D6" s="12" t="s">
        <v>57</v>
      </c>
    </row>
    <row r="7" customFormat="false" ht="45.75" hidden="false" customHeight="true" outlineLevel="0" collapsed="false">
      <c r="A7" s="12" t="s">
        <v>58</v>
      </c>
      <c r="B7" s="12" t="s">
        <v>59</v>
      </c>
      <c r="C7" s="12" t="s">
        <v>60</v>
      </c>
      <c r="D7" s="12" t="s">
        <v>61</v>
      </c>
    </row>
    <row r="10" customFormat="false" ht="15" hidden="false" customHeight="true" outlineLevel="0" collapsed="false">
      <c r="A10" s="13" t="s">
        <v>62</v>
      </c>
    </row>
    <row r="11" customFormat="false" ht="31.5" hidden="false" customHeight="true" outlineLevel="0" collapsed="false">
      <c r="A11" s="11" t="s">
        <v>63</v>
      </c>
      <c r="B11" s="11" t="s">
        <v>64</v>
      </c>
      <c r="C11" s="11" t="s">
        <v>65</v>
      </c>
      <c r="D11" s="11" t="s">
        <v>66</v>
      </c>
    </row>
    <row r="12" customFormat="false" ht="45.75" hidden="false" customHeight="true" outlineLevel="0" collapsed="false">
      <c r="A12" s="12" t="s">
        <v>67</v>
      </c>
      <c r="B12" s="12" t="s">
        <v>68</v>
      </c>
      <c r="C12" s="12" t="s">
        <v>69</v>
      </c>
      <c r="D12" s="12" t="s">
        <v>70</v>
      </c>
    </row>
    <row r="13" customFormat="false" ht="34.5" hidden="false" customHeight="true" outlineLevel="0" collapsed="false">
      <c r="A13" s="12" t="s">
        <v>71</v>
      </c>
      <c r="B13" s="12" t="s">
        <v>72</v>
      </c>
      <c r="C13" s="12" t="s">
        <v>73</v>
      </c>
      <c r="D13" s="12" t="s">
        <v>70</v>
      </c>
    </row>
    <row r="14" customFormat="false" ht="45.75" hidden="false" customHeight="true" outlineLevel="0" collapsed="false">
      <c r="A14" s="12" t="s">
        <v>74</v>
      </c>
      <c r="B14" s="12" t="s">
        <v>75</v>
      </c>
      <c r="C14" s="12" t="s">
        <v>73</v>
      </c>
      <c r="D14" s="12" t="s">
        <v>70</v>
      </c>
    </row>
    <row r="15" customFormat="false" ht="45.75" hidden="false" customHeight="true" outlineLevel="0" collapsed="false">
      <c r="A15" s="12" t="s">
        <v>76</v>
      </c>
      <c r="B15" s="12" t="s">
        <v>77</v>
      </c>
      <c r="C15" s="12" t="s">
        <v>78</v>
      </c>
      <c r="D15" s="12" t="s">
        <v>70</v>
      </c>
    </row>
    <row r="16" customFormat="false" ht="34.5" hidden="false" customHeight="true" outlineLevel="0" collapsed="false">
      <c r="A16" s="12" t="s">
        <v>79</v>
      </c>
      <c r="B16" s="12" t="s">
        <v>80</v>
      </c>
      <c r="C16" s="12" t="s">
        <v>81</v>
      </c>
      <c r="D16" s="12" t="s">
        <v>70</v>
      </c>
    </row>
    <row r="17" customFormat="false" ht="57" hidden="false" customHeight="true" outlineLevel="0" collapsed="false">
      <c r="A17" s="12" t="s">
        <v>82</v>
      </c>
      <c r="B17" s="12" t="s">
        <v>83</v>
      </c>
      <c r="C17" s="12" t="s">
        <v>84</v>
      </c>
      <c r="D17" s="12" t="s">
        <v>70</v>
      </c>
    </row>
    <row r="18" customFormat="false" ht="45.75" hidden="false" customHeight="true" outlineLevel="0" collapsed="false">
      <c r="A18" s="12" t="s">
        <v>85</v>
      </c>
      <c r="B18" s="12" t="s">
        <v>86</v>
      </c>
      <c r="C18" s="12" t="s">
        <v>87</v>
      </c>
      <c r="D18" s="12" t="s">
        <v>70</v>
      </c>
    </row>
    <row r="19" customFormat="false" ht="45.75" hidden="false" customHeight="true" outlineLevel="0" collapsed="false">
      <c r="A19" s="12" t="s">
        <v>88</v>
      </c>
      <c r="B19" s="12" t="s">
        <v>89</v>
      </c>
      <c r="C19" s="12" t="s">
        <v>90</v>
      </c>
      <c r="D19" s="12" t="s">
        <v>70</v>
      </c>
    </row>
    <row r="20" customFormat="false" ht="34.5" hidden="false" customHeight="true" outlineLevel="0" collapsed="false">
      <c r="A20" s="12" t="s">
        <v>91</v>
      </c>
      <c r="B20" s="12" t="s">
        <v>92</v>
      </c>
      <c r="C20" s="12" t="s">
        <v>93</v>
      </c>
      <c r="D20" s="12" t="s">
        <v>94</v>
      </c>
    </row>
    <row r="21" customFormat="false" ht="45.75" hidden="false" customHeight="true" outlineLevel="0" collapsed="false">
      <c r="A21" s="12" t="s">
        <v>95</v>
      </c>
      <c r="B21" s="12" t="s">
        <v>96</v>
      </c>
      <c r="C21" s="12" t="s">
        <v>97</v>
      </c>
      <c r="D21" s="12" t="s">
        <v>98</v>
      </c>
    </row>
    <row r="22" customFormat="false" ht="34.5" hidden="false" customHeight="true" outlineLevel="0" collapsed="false">
      <c r="A22" s="12" t="s">
        <v>99</v>
      </c>
      <c r="B22" s="12" t="s">
        <v>100</v>
      </c>
      <c r="C22" s="12" t="s">
        <v>101</v>
      </c>
      <c r="D22" s="12" t="s">
        <v>94</v>
      </c>
    </row>
    <row r="23" customFormat="false" ht="34.5" hidden="false" customHeight="true" outlineLevel="0" collapsed="false">
      <c r="A23" s="12" t="s">
        <v>102</v>
      </c>
      <c r="B23" s="12" t="s">
        <v>103</v>
      </c>
      <c r="C23" s="12" t="s">
        <v>104</v>
      </c>
      <c r="D23" s="12" t="s">
        <v>94</v>
      </c>
    </row>
    <row r="26" customFormat="false" ht="15" hidden="false" customHeight="true" outlineLevel="0" collapsed="false">
      <c r="A26" s="13" t="s">
        <v>105</v>
      </c>
    </row>
    <row r="27" customFormat="false" ht="30" hidden="false" customHeight="true" outlineLevel="0" collapsed="false">
      <c r="A27" s="14" t="s">
        <v>106</v>
      </c>
      <c r="B27" s="14"/>
      <c r="C27" s="14"/>
      <c r="D27" s="14"/>
      <c r="E27" s="14"/>
      <c r="F27" s="14"/>
    </row>
    <row r="28" customFormat="false" ht="30" hidden="false" customHeight="true" outlineLevel="0" collapsed="false">
      <c r="A28" s="14" t="s">
        <v>107</v>
      </c>
      <c r="B28" s="14"/>
      <c r="C28" s="14"/>
      <c r="D28" s="14"/>
      <c r="E28" s="14"/>
      <c r="F28" s="14"/>
    </row>
    <row r="29" customFormat="false" ht="30" hidden="false" customHeight="true" outlineLevel="0" collapsed="false">
      <c r="A29" s="14" t="s">
        <v>108</v>
      </c>
      <c r="B29" s="14"/>
      <c r="C29" s="14"/>
      <c r="D29" s="14"/>
      <c r="E29" s="14"/>
      <c r="F29" s="14"/>
    </row>
    <row r="30" customFormat="false" ht="30" hidden="false" customHeight="true" outlineLevel="0" collapsed="false">
      <c r="A30" s="14" t="s">
        <v>109</v>
      </c>
      <c r="B30" s="14"/>
      <c r="C30" s="14"/>
      <c r="D30" s="14"/>
      <c r="E30" s="14"/>
      <c r="F30" s="14"/>
    </row>
    <row r="31" customFormat="false" ht="30" hidden="false" customHeight="true" outlineLevel="0" collapsed="false">
      <c r="A31" s="14" t="s">
        <v>110</v>
      </c>
      <c r="B31" s="14"/>
      <c r="C31" s="14"/>
      <c r="D31" s="14"/>
      <c r="E31" s="14"/>
      <c r="F31" s="14"/>
    </row>
    <row r="33" customFormat="false" ht="14.25" hidden="false" customHeight="true" outlineLevel="0" collapsed="false">
      <c r="A33" s="15" t="s">
        <v>111</v>
      </c>
    </row>
    <row r="34" customFormat="false" ht="14.25" hidden="false" customHeight="true" outlineLevel="0" collapsed="false">
      <c r="A34" s="1" t="s">
        <v>112</v>
      </c>
    </row>
    <row r="35" customFormat="false" ht="14.25" hidden="false" customHeight="true" outlineLevel="0" collapsed="false">
      <c r="A35" s="1" t="s">
        <v>113</v>
      </c>
    </row>
    <row r="36" customFormat="false" ht="14.25" hidden="false" customHeight="true" outlineLevel="0" collapsed="false">
      <c r="A36" s="1" t="s">
        <v>114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2"/>
    <col collapsed="false" customWidth="true" hidden="false" outlineLevel="0" max="5" min="5" style="1" width="16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32"/>
    <col collapsed="false" customWidth="true" hidden="false" outlineLevel="0" max="11" min="11" style="1" width="45"/>
  </cols>
  <sheetData>
    <row r="1" customFormat="false" ht="15.75" hidden="false" customHeight="true" outlineLevel="0" collapsed="false">
      <c r="A1" s="16" t="s">
        <v>67</v>
      </c>
    </row>
    <row r="2" customFormat="false" ht="15" hidden="false" customHeight="true" outlineLevel="0" collapsed="false">
      <c r="A2" s="10" t="s">
        <v>115</v>
      </c>
    </row>
    <row r="4" customFormat="false" ht="31.5" hidden="false" customHeight="true" outlineLevel="0" collapsed="false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</row>
    <row r="5" customFormat="false" ht="15" hidden="false" customHeight="true" outlineLevel="0" collapsed="false">
      <c r="A5" s="12" t="s">
        <v>127</v>
      </c>
      <c r="B5" s="12" t="s">
        <v>128</v>
      </c>
      <c r="C5" s="12" t="s">
        <v>129</v>
      </c>
      <c r="D5" s="12" t="s">
        <v>130</v>
      </c>
      <c r="E5" s="12" t="s">
        <v>131</v>
      </c>
      <c r="F5" s="12" t="s">
        <v>132</v>
      </c>
      <c r="G5" s="12" t="n">
        <v>16</v>
      </c>
      <c r="H5" s="12" t="n">
        <v>23670</v>
      </c>
      <c r="I5" s="12" t="s">
        <v>133</v>
      </c>
      <c r="J5" s="12" t="s">
        <v>134</v>
      </c>
      <c r="K5" s="12" t="s">
        <v>135</v>
      </c>
    </row>
    <row r="6" customFormat="false" ht="15" hidden="false" customHeight="true" outlineLevel="0" collapsed="false">
      <c r="A6" s="12" t="s">
        <v>136</v>
      </c>
      <c r="B6" s="12" t="s">
        <v>128</v>
      </c>
      <c r="C6" s="12" t="s">
        <v>129</v>
      </c>
      <c r="D6" s="12" t="s">
        <v>137</v>
      </c>
      <c r="E6" s="12" t="s">
        <v>138</v>
      </c>
      <c r="F6" s="12" t="s">
        <v>139</v>
      </c>
      <c r="G6" s="12" t="n">
        <v>16</v>
      </c>
      <c r="H6" s="12" t="n">
        <v>1250</v>
      </c>
      <c r="I6" s="12" t="s">
        <v>133</v>
      </c>
      <c r="J6" s="12" t="s">
        <v>134</v>
      </c>
      <c r="K6" s="12" t="s">
        <v>140</v>
      </c>
    </row>
    <row r="7" customFormat="false" ht="15" hidden="false" customHeight="true" outlineLevel="0" collapsed="false">
      <c r="A7" s="12" t="s">
        <v>141</v>
      </c>
      <c r="B7" s="12" t="s">
        <v>128</v>
      </c>
      <c r="C7" s="12" t="s">
        <v>142</v>
      </c>
      <c r="D7" s="12" t="s">
        <v>143</v>
      </c>
      <c r="E7" s="12" t="s">
        <v>144</v>
      </c>
      <c r="F7" s="12" t="s">
        <v>132</v>
      </c>
      <c r="G7" s="12" t="n">
        <v>16</v>
      </c>
      <c r="H7" s="12" t="n">
        <v>670</v>
      </c>
      <c r="I7" s="12" t="s">
        <v>145</v>
      </c>
      <c r="J7" s="12" t="s">
        <v>146</v>
      </c>
      <c r="K7" s="12"/>
    </row>
    <row r="8" customFormat="false" ht="23.25" hidden="false" customHeight="true" outlineLevel="0" collapsed="false">
      <c r="A8" s="12" t="s">
        <v>147</v>
      </c>
      <c r="B8" s="12" t="s">
        <v>128</v>
      </c>
      <c r="C8" s="12" t="s">
        <v>148</v>
      </c>
      <c r="D8" s="12" t="s">
        <v>149</v>
      </c>
      <c r="E8" s="12" t="s">
        <v>150</v>
      </c>
      <c r="F8" s="12" t="s">
        <v>151</v>
      </c>
      <c r="G8" s="12" t="n">
        <v>96</v>
      </c>
      <c r="H8" s="12" t="n">
        <v>960</v>
      </c>
      <c r="I8" s="12" t="s">
        <v>145</v>
      </c>
      <c r="J8" s="12" t="s">
        <v>146</v>
      </c>
      <c r="K8" s="12" t="s">
        <v>152</v>
      </c>
    </row>
    <row r="9" customFormat="false" ht="15" hidden="false" customHeight="true" outlineLevel="0" collapsed="false">
      <c r="A9" s="12" t="s">
        <v>153</v>
      </c>
      <c r="B9" s="12" t="s">
        <v>154</v>
      </c>
      <c r="C9" s="12" t="s">
        <v>129</v>
      </c>
      <c r="D9" s="12" t="s">
        <v>155</v>
      </c>
      <c r="E9" s="12" t="s">
        <v>156</v>
      </c>
      <c r="F9" s="12" t="s">
        <v>157</v>
      </c>
      <c r="G9" s="12"/>
      <c r="H9" s="12" t="n">
        <v>600</v>
      </c>
      <c r="I9" s="12" t="s">
        <v>145</v>
      </c>
      <c r="J9" s="12" t="s">
        <v>146</v>
      </c>
      <c r="K9" s="12" t="s">
        <v>158</v>
      </c>
    </row>
    <row r="10" customFormat="false" ht="15" hidden="false" customHeight="true" outlineLevel="0" collapsed="false">
      <c r="A10" s="12" t="s">
        <v>159</v>
      </c>
      <c r="B10" s="12" t="s">
        <v>154</v>
      </c>
      <c r="C10" s="12" t="s">
        <v>129</v>
      </c>
      <c r="D10" s="12" t="s">
        <v>160</v>
      </c>
      <c r="E10" s="12" t="s">
        <v>161</v>
      </c>
      <c r="F10" s="12" t="s">
        <v>162</v>
      </c>
      <c r="G10" s="12"/>
      <c r="H10" s="12" t="n">
        <v>300</v>
      </c>
      <c r="I10" s="12" t="s">
        <v>145</v>
      </c>
      <c r="J10" s="12" t="s">
        <v>146</v>
      </c>
      <c r="K10" s="12"/>
    </row>
    <row r="11" customFormat="false" ht="15" hidden="false" customHeight="true" outlineLevel="0" collapsed="false">
      <c r="A11" s="12" t="s">
        <v>163</v>
      </c>
      <c r="B11" s="12" t="s">
        <v>154</v>
      </c>
      <c r="C11" s="12" t="s">
        <v>129</v>
      </c>
      <c r="D11" s="12" t="s">
        <v>164</v>
      </c>
      <c r="E11" s="12" t="s">
        <v>165</v>
      </c>
      <c r="F11" s="12" t="s">
        <v>166</v>
      </c>
      <c r="G11" s="12" t="n">
        <v>16</v>
      </c>
      <c r="H11" s="12" t="n">
        <v>5994</v>
      </c>
      <c r="I11" s="12" t="s">
        <v>145</v>
      </c>
      <c r="J11" s="12" t="s">
        <v>146</v>
      </c>
      <c r="K11" s="12" t="s">
        <v>167</v>
      </c>
    </row>
    <row r="12" customFormat="false" ht="15" hidden="false" customHeight="true" outlineLevel="0" collapsed="false">
      <c r="A12" s="12" t="s">
        <v>168</v>
      </c>
      <c r="B12" s="12" t="s">
        <v>154</v>
      </c>
      <c r="C12" s="12" t="s">
        <v>129</v>
      </c>
      <c r="D12" s="12" t="s">
        <v>169</v>
      </c>
      <c r="E12" s="12" t="s">
        <v>170</v>
      </c>
      <c r="F12" s="12" t="s">
        <v>171</v>
      </c>
      <c r="G12" s="12" t="n">
        <v>8</v>
      </c>
      <c r="H12" s="12" t="n">
        <v>3994</v>
      </c>
      <c r="I12" s="12" t="s">
        <v>145</v>
      </c>
      <c r="J12" s="12" t="s">
        <v>146</v>
      </c>
      <c r="K12" s="12"/>
    </row>
    <row r="13" s="18" customFormat="true" ht="15" hidden="false" customHeight="true" outlineLevel="0" collapsed="false">
      <c r="A13" s="17" t="s">
        <v>172</v>
      </c>
      <c r="B13" s="17" t="s">
        <v>173</v>
      </c>
      <c r="C13" s="17" t="s">
        <v>129</v>
      </c>
      <c r="D13" s="17" t="s">
        <v>174</v>
      </c>
      <c r="E13" s="17" t="s">
        <v>175</v>
      </c>
      <c r="F13" s="17" t="s">
        <v>132</v>
      </c>
      <c r="G13" s="17" t="n">
        <v>16</v>
      </c>
      <c r="H13" s="17" t="n">
        <v>23670</v>
      </c>
      <c r="I13" s="17" t="s">
        <v>145</v>
      </c>
      <c r="J13" s="17" t="s">
        <v>146</v>
      </c>
      <c r="K13" s="17" t="s">
        <v>176</v>
      </c>
    </row>
    <row r="14" s="18" customFormat="true" ht="15" hidden="false" customHeight="true" outlineLevel="0" collapsed="false">
      <c r="A14" s="17" t="s">
        <v>177</v>
      </c>
      <c r="B14" s="17" t="s">
        <v>173</v>
      </c>
      <c r="C14" s="17" t="s">
        <v>129</v>
      </c>
      <c r="D14" s="17" t="s">
        <v>178</v>
      </c>
      <c r="E14" s="17" t="s">
        <v>179</v>
      </c>
      <c r="F14" s="17" t="s">
        <v>180</v>
      </c>
      <c r="G14" s="17" t="n">
        <v>4</v>
      </c>
      <c r="H14" s="17" t="n">
        <v>6498</v>
      </c>
      <c r="I14" s="17" t="s">
        <v>145</v>
      </c>
      <c r="J14" s="17" t="s">
        <v>146</v>
      </c>
      <c r="K14" s="17" t="s">
        <v>181</v>
      </c>
    </row>
    <row r="15" s="18" customFormat="true" ht="15" hidden="false" customHeight="true" outlineLevel="0" collapsed="false">
      <c r="A15" s="17" t="s">
        <v>182</v>
      </c>
      <c r="B15" s="17" t="s">
        <v>173</v>
      </c>
      <c r="C15" s="17" t="s">
        <v>129</v>
      </c>
      <c r="D15" s="17" t="s">
        <v>183</v>
      </c>
      <c r="E15" s="17" t="s">
        <v>184</v>
      </c>
      <c r="F15" s="17" t="s">
        <v>139</v>
      </c>
      <c r="G15" s="17" t="n">
        <v>16</v>
      </c>
      <c r="H15" s="17" t="n">
        <v>1250</v>
      </c>
      <c r="I15" s="17" t="s">
        <v>145</v>
      </c>
      <c r="J15" s="17" t="s">
        <v>146</v>
      </c>
      <c r="K15" s="17" t="s">
        <v>185</v>
      </c>
    </row>
    <row r="16" s="18" customFormat="true" ht="15" hidden="false" customHeight="true" outlineLevel="0" collapsed="false">
      <c r="A16" s="17" t="s">
        <v>186</v>
      </c>
      <c r="B16" s="17" t="s">
        <v>173</v>
      </c>
      <c r="C16" s="17" t="s">
        <v>187</v>
      </c>
      <c r="D16" s="17" t="s">
        <v>188</v>
      </c>
      <c r="E16" s="17" t="s">
        <v>189</v>
      </c>
      <c r="F16" s="17" t="s">
        <v>132</v>
      </c>
      <c r="G16" s="17" t="n">
        <v>16</v>
      </c>
      <c r="H16" s="17" t="n">
        <v>1250</v>
      </c>
      <c r="I16" s="17" t="s">
        <v>145</v>
      </c>
      <c r="J16" s="17" t="s">
        <v>146</v>
      </c>
      <c r="K16" s="17" t="s">
        <v>190</v>
      </c>
    </row>
    <row r="17" s="18" customFormat="true" ht="15" hidden="false" customHeight="true" outlineLevel="0" collapsed="false">
      <c r="A17" s="17" t="s">
        <v>191</v>
      </c>
      <c r="B17" s="17" t="s">
        <v>173</v>
      </c>
      <c r="C17" s="17" t="s">
        <v>148</v>
      </c>
      <c r="D17" s="17" t="s">
        <v>192</v>
      </c>
      <c r="E17" s="17" t="s">
        <v>193</v>
      </c>
      <c r="F17" s="17" t="s">
        <v>151</v>
      </c>
      <c r="G17" s="17" t="n">
        <v>96</v>
      </c>
      <c r="H17" s="17" t="n">
        <v>960</v>
      </c>
      <c r="I17" s="17" t="s">
        <v>145</v>
      </c>
      <c r="J17" s="17" t="s">
        <v>146</v>
      </c>
      <c r="K17" s="17" t="s">
        <v>194</v>
      </c>
    </row>
    <row r="18" s="18" customFormat="true" ht="15" hidden="false" customHeight="true" outlineLevel="0" collapsed="false">
      <c r="A18" s="17" t="s">
        <v>195</v>
      </c>
      <c r="B18" s="17" t="s">
        <v>173</v>
      </c>
      <c r="C18" s="17" t="s">
        <v>196</v>
      </c>
      <c r="D18" s="17" t="s">
        <v>197</v>
      </c>
      <c r="E18" s="17" t="s">
        <v>198</v>
      </c>
      <c r="F18" s="17" t="s">
        <v>132</v>
      </c>
      <c r="G18" s="17" t="n">
        <v>16</v>
      </c>
      <c r="H18" s="17" t="n">
        <v>360</v>
      </c>
      <c r="I18" s="17" t="s">
        <v>145</v>
      </c>
      <c r="J18" s="17" t="s">
        <v>146</v>
      </c>
      <c r="K18" s="17" t="s">
        <v>199</v>
      </c>
    </row>
    <row r="19" s="18" customFormat="true" ht="15" hidden="false" customHeight="true" outlineLevel="0" collapsed="false">
      <c r="A19" s="17" t="s">
        <v>200</v>
      </c>
      <c r="B19" s="17" t="s">
        <v>173</v>
      </c>
      <c r="C19" s="17" t="s">
        <v>196</v>
      </c>
      <c r="D19" s="17" t="s">
        <v>201</v>
      </c>
      <c r="E19" s="17" t="s">
        <v>202</v>
      </c>
      <c r="F19" s="17" t="s">
        <v>132</v>
      </c>
      <c r="G19" s="17" t="n">
        <v>16</v>
      </c>
      <c r="H19" s="17" t="n">
        <v>360</v>
      </c>
      <c r="I19" s="17" t="s">
        <v>145</v>
      </c>
      <c r="J19" s="17" t="s">
        <v>146</v>
      </c>
      <c r="K19" s="17" t="s">
        <v>199</v>
      </c>
    </row>
    <row r="20" s="18" customFormat="true" ht="15" hidden="false" customHeight="true" outlineLevel="0" collapsed="false">
      <c r="A20" s="17" t="s">
        <v>203</v>
      </c>
      <c r="B20" s="17" t="s">
        <v>173</v>
      </c>
      <c r="C20" s="17" t="s">
        <v>142</v>
      </c>
      <c r="D20" s="17" t="s">
        <v>204</v>
      </c>
      <c r="E20" s="17" t="s">
        <v>205</v>
      </c>
      <c r="F20" s="17" t="s">
        <v>132</v>
      </c>
      <c r="G20" s="17" t="n">
        <v>16</v>
      </c>
      <c r="H20" s="17" t="n">
        <v>670</v>
      </c>
      <c r="I20" s="17" t="s">
        <v>145</v>
      </c>
      <c r="J20" s="17" t="s">
        <v>146</v>
      </c>
      <c r="K20" s="17"/>
    </row>
    <row r="21" s="18" customFormat="true" ht="23.25" hidden="false" customHeight="true" outlineLevel="0" collapsed="false">
      <c r="A21" s="17" t="s">
        <v>206</v>
      </c>
      <c r="B21" s="17" t="s">
        <v>173</v>
      </c>
      <c r="C21" s="17" t="s">
        <v>148</v>
      </c>
      <c r="D21" s="17" t="s">
        <v>207</v>
      </c>
      <c r="E21" s="17" t="s">
        <v>208</v>
      </c>
      <c r="F21" s="17" t="s">
        <v>151</v>
      </c>
      <c r="G21" s="17" t="n">
        <v>96</v>
      </c>
      <c r="H21" s="17" t="n">
        <v>960</v>
      </c>
      <c r="I21" s="17" t="s">
        <v>145</v>
      </c>
      <c r="J21" s="17" t="s">
        <v>146</v>
      </c>
      <c r="K21" s="17" t="s">
        <v>209</v>
      </c>
    </row>
    <row r="22" s="18" customFormat="true" ht="15" hidden="false" customHeight="true" outlineLevel="0" collapsed="false">
      <c r="A22" s="17" t="s">
        <v>210</v>
      </c>
      <c r="B22" s="17" t="s">
        <v>173</v>
      </c>
      <c r="C22" s="17" t="s">
        <v>211</v>
      </c>
      <c r="D22" s="17" t="s">
        <v>212</v>
      </c>
      <c r="E22" s="17" t="s">
        <v>213</v>
      </c>
      <c r="F22" s="17" t="s">
        <v>132</v>
      </c>
      <c r="G22" s="17" t="n">
        <v>16</v>
      </c>
      <c r="H22" s="17" t="n">
        <v>670</v>
      </c>
      <c r="I22" s="17" t="s">
        <v>145</v>
      </c>
      <c r="J22" s="17" t="s">
        <v>146</v>
      </c>
      <c r="K22" s="17"/>
    </row>
    <row r="23" s="18" customFormat="true" ht="15" hidden="false" customHeight="true" outlineLevel="0" collapsed="false">
      <c r="A23" s="17" t="s">
        <v>214</v>
      </c>
      <c r="B23" s="17" t="s">
        <v>173</v>
      </c>
      <c r="C23" s="17" t="s">
        <v>129</v>
      </c>
      <c r="D23" s="17" t="s">
        <v>215</v>
      </c>
      <c r="E23" s="17" t="s">
        <v>216</v>
      </c>
      <c r="F23" s="17" t="s">
        <v>166</v>
      </c>
      <c r="G23" s="17" t="n">
        <v>16</v>
      </c>
      <c r="H23" s="17" t="n">
        <v>22420</v>
      </c>
      <c r="I23" s="17" t="s">
        <v>145</v>
      </c>
      <c r="J23" s="17" t="s">
        <v>146</v>
      </c>
      <c r="K23" s="17" t="s">
        <v>217</v>
      </c>
    </row>
    <row r="24" s="18" customFormat="true" ht="15" hidden="false" customHeight="true" outlineLevel="0" collapsed="false">
      <c r="A24" s="17" t="s">
        <v>218</v>
      </c>
      <c r="B24" s="17" t="s">
        <v>173</v>
      </c>
      <c r="C24" s="17" t="s">
        <v>129</v>
      </c>
      <c r="D24" s="17" t="s">
        <v>219</v>
      </c>
      <c r="E24" s="17" t="s">
        <v>220</v>
      </c>
      <c r="F24" s="17" t="s">
        <v>166</v>
      </c>
      <c r="G24" s="17" t="n">
        <v>16</v>
      </c>
      <c r="H24" s="17" t="n">
        <v>23225</v>
      </c>
      <c r="I24" s="17" t="s">
        <v>145</v>
      </c>
      <c r="J24" s="17" t="s">
        <v>146</v>
      </c>
      <c r="K24" s="17" t="s">
        <v>221</v>
      </c>
    </row>
    <row r="25" s="18" customFormat="true" ht="15" hidden="false" customHeight="true" outlineLevel="0" collapsed="false">
      <c r="A25" s="17" t="s">
        <v>222</v>
      </c>
      <c r="B25" s="17" t="s">
        <v>173</v>
      </c>
      <c r="C25" s="17" t="s">
        <v>187</v>
      </c>
      <c r="D25" s="17" t="s">
        <v>223</v>
      </c>
      <c r="E25" s="17" t="s">
        <v>224</v>
      </c>
      <c r="F25" s="17" t="s">
        <v>225</v>
      </c>
      <c r="G25" s="17" t="n">
        <v>24</v>
      </c>
      <c r="H25" s="17" t="n">
        <v>2400</v>
      </c>
      <c r="I25" s="17" t="s">
        <v>145</v>
      </c>
      <c r="J25" s="17" t="s">
        <v>146</v>
      </c>
      <c r="K25" s="17" t="s">
        <v>226</v>
      </c>
    </row>
    <row r="26" s="18" customFormat="true" ht="15" hidden="false" customHeight="true" outlineLevel="0" collapsed="false">
      <c r="A26" s="17" t="s">
        <v>227</v>
      </c>
      <c r="B26" s="17" t="s">
        <v>173</v>
      </c>
      <c r="C26" s="17" t="s">
        <v>196</v>
      </c>
      <c r="D26" s="17" t="s">
        <v>228</v>
      </c>
      <c r="E26" s="17" t="s">
        <v>229</v>
      </c>
      <c r="F26" s="17" t="s">
        <v>132</v>
      </c>
      <c r="G26" s="17" t="n">
        <v>16</v>
      </c>
      <c r="H26" s="17" t="n">
        <v>360</v>
      </c>
      <c r="I26" s="17" t="s">
        <v>145</v>
      </c>
      <c r="J26" s="17" t="s">
        <v>146</v>
      </c>
      <c r="K26" s="17" t="s">
        <v>230</v>
      </c>
    </row>
    <row r="27" s="18" customFormat="true" ht="15" hidden="false" customHeight="true" outlineLevel="0" collapsed="false">
      <c r="A27" s="17" t="s">
        <v>231</v>
      </c>
      <c r="B27" s="17" t="s">
        <v>173</v>
      </c>
      <c r="C27" s="17" t="s">
        <v>196</v>
      </c>
      <c r="D27" s="17" t="s">
        <v>232</v>
      </c>
      <c r="E27" s="17" t="s">
        <v>233</v>
      </c>
      <c r="F27" s="17" t="s">
        <v>132</v>
      </c>
      <c r="G27" s="17" t="n">
        <v>16</v>
      </c>
      <c r="H27" s="17" t="n">
        <v>360</v>
      </c>
      <c r="I27" s="17" t="s">
        <v>145</v>
      </c>
      <c r="J27" s="17" t="s">
        <v>146</v>
      </c>
      <c r="K27" s="17" t="s">
        <v>234</v>
      </c>
    </row>
    <row r="28" s="18" customFormat="true" ht="15" hidden="false" customHeight="true" outlineLevel="0" collapsed="false">
      <c r="A28" s="17" t="s">
        <v>235</v>
      </c>
      <c r="B28" s="17" t="s">
        <v>236</v>
      </c>
      <c r="C28" s="17" t="s">
        <v>129</v>
      </c>
      <c r="D28" s="17" t="s">
        <v>237</v>
      </c>
      <c r="E28" s="17" t="s">
        <v>238</v>
      </c>
      <c r="F28" s="17" t="s">
        <v>157</v>
      </c>
      <c r="G28" s="17"/>
      <c r="H28" s="17" t="n">
        <v>600</v>
      </c>
      <c r="I28" s="17" t="s">
        <v>145</v>
      </c>
      <c r="J28" s="17" t="s">
        <v>146</v>
      </c>
      <c r="K28" s="17" t="s">
        <v>239</v>
      </c>
    </row>
    <row r="29" s="18" customFormat="true" ht="15" hidden="false" customHeight="true" outlineLevel="0" collapsed="false">
      <c r="A29" s="17" t="s">
        <v>240</v>
      </c>
      <c r="B29" s="17" t="s">
        <v>236</v>
      </c>
      <c r="C29" s="17" t="s">
        <v>129</v>
      </c>
      <c r="D29" s="17" t="s">
        <v>241</v>
      </c>
      <c r="E29" s="17" t="s">
        <v>242</v>
      </c>
      <c r="F29" s="17" t="s">
        <v>162</v>
      </c>
      <c r="G29" s="17"/>
      <c r="H29" s="17" t="n">
        <v>300</v>
      </c>
      <c r="I29" s="17" t="s">
        <v>145</v>
      </c>
      <c r="J29" s="17" t="s">
        <v>146</v>
      </c>
      <c r="K29" s="17" t="s">
        <v>243</v>
      </c>
    </row>
    <row r="30" s="18" customFormat="true" ht="15" hidden="false" customHeight="true" outlineLevel="0" collapsed="false">
      <c r="A30" s="17" t="s">
        <v>244</v>
      </c>
      <c r="B30" s="17" t="s">
        <v>236</v>
      </c>
      <c r="C30" s="17" t="s">
        <v>129</v>
      </c>
      <c r="D30" s="17" t="s">
        <v>245</v>
      </c>
      <c r="E30" s="17" t="s">
        <v>246</v>
      </c>
      <c r="F30" s="17" t="s">
        <v>166</v>
      </c>
      <c r="G30" s="17" t="n">
        <v>16</v>
      </c>
      <c r="H30" s="17" t="n">
        <v>5994</v>
      </c>
      <c r="I30" s="17" t="s">
        <v>145</v>
      </c>
      <c r="J30" s="17" t="s">
        <v>146</v>
      </c>
      <c r="K30" s="17" t="s">
        <v>247</v>
      </c>
    </row>
    <row r="31" s="18" customFormat="true" ht="30.75" hidden="false" customHeight="true" outlineLevel="0" collapsed="false">
      <c r="A31" s="17" t="s">
        <v>248</v>
      </c>
      <c r="B31" s="17" t="s">
        <v>236</v>
      </c>
      <c r="C31" s="17" t="s">
        <v>129</v>
      </c>
      <c r="D31" s="17" t="s">
        <v>249</v>
      </c>
      <c r="E31" s="17" t="s">
        <v>250</v>
      </c>
      <c r="F31" s="17" t="s">
        <v>171</v>
      </c>
      <c r="G31" s="17" t="n">
        <v>8</v>
      </c>
      <c r="H31" s="17" t="n">
        <v>3994</v>
      </c>
      <c r="I31" s="17" t="s">
        <v>145</v>
      </c>
      <c r="J31" s="17" t="s">
        <v>146</v>
      </c>
      <c r="K31" s="17"/>
    </row>
    <row r="32" customFormat="false" ht="30" hidden="false" customHeight="true" outlineLevel="0" collapsed="false">
      <c r="A32" s="12" t="s">
        <v>251</v>
      </c>
      <c r="B32" s="12" t="s">
        <v>252</v>
      </c>
      <c r="C32" s="12" t="s">
        <v>253</v>
      </c>
      <c r="D32" s="12" t="s">
        <v>254</v>
      </c>
      <c r="E32" s="12" t="s">
        <v>255</v>
      </c>
      <c r="F32" s="12" t="s">
        <v>132</v>
      </c>
      <c r="G32" s="12" t="n">
        <v>16</v>
      </c>
      <c r="H32" s="12" t="n">
        <v>2500</v>
      </c>
      <c r="I32" s="12" t="s">
        <v>145</v>
      </c>
      <c r="J32" s="12" t="s">
        <v>146</v>
      </c>
      <c r="K32" s="12" t="s">
        <v>256</v>
      </c>
    </row>
    <row r="33" customFormat="false" ht="30" hidden="false" customHeight="true" outlineLevel="0" collapsed="false">
      <c r="A33" s="12" t="s">
        <v>257</v>
      </c>
      <c r="B33" s="12" t="s">
        <v>252</v>
      </c>
      <c r="C33" s="12" t="s">
        <v>253</v>
      </c>
      <c r="D33" s="12" t="s">
        <v>258</v>
      </c>
      <c r="E33" s="12" t="s">
        <v>259</v>
      </c>
      <c r="F33" s="12" t="s">
        <v>132</v>
      </c>
      <c r="G33" s="12" t="n">
        <v>16</v>
      </c>
      <c r="H33" s="12" t="n">
        <v>2060</v>
      </c>
      <c r="I33" s="12" t="s">
        <v>145</v>
      </c>
      <c r="J33" s="12" t="s">
        <v>146</v>
      </c>
      <c r="K33" s="12" t="s">
        <v>260</v>
      </c>
    </row>
    <row r="34" customFormat="false" ht="31.5" hidden="false" customHeight="true" outlineLevel="0" collapsed="false">
      <c r="A34" s="12" t="s">
        <v>261</v>
      </c>
      <c r="B34" s="12" t="s">
        <v>262</v>
      </c>
      <c r="C34" s="12" t="s">
        <v>263</v>
      </c>
      <c r="D34" s="12" t="s">
        <v>264</v>
      </c>
      <c r="E34" s="12" t="s">
        <v>265</v>
      </c>
      <c r="F34" s="12" t="s">
        <v>132</v>
      </c>
      <c r="G34" s="12" t="n">
        <v>16</v>
      </c>
      <c r="H34" s="12" t="n">
        <v>25000</v>
      </c>
      <c r="I34" s="12" t="s">
        <v>145</v>
      </c>
      <c r="J34" s="12" t="s">
        <v>146</v>
      </c>
      <c r="K34" s="12" t="s">
        <v>266</v>
      </c>
    </row>
    <row r="35" customFormat="false" ht="24" hidden="false" customHeight="true" outlineLevel="0" collapsed="false">
      <c r="A35" s="12" t="s">
        <v>267</v>
      </c>
      <c r="B35" s="12" t="s">
        <v>262</v>
      </c>
      <c r="C35" s="12" t="s">
        <v>263</v>
      </c>
      <c r="D35" s="12" t="s">
        <v>268</v>
      </c>
      <c r="E35" s="12" t="s">
        <v>269</v>
      </c>
      <c r="F35" s="12" t="s">
        <v>270</v>
      </c>
      <c r="G35" s="12" t="n">
        <v>48</v>
      </c>
      <c r="H35" s="12" t="n">
        <v>1800</v>
      </c>
      <c r="I35" s="12" t="s">
        <v>145</v>
      </c>
      <c r="J35" s="12" t="s">
        <v>146</v>
      </c>
      <c r="K35" s="12" t="s">
        <v>271</v>
      </c>
    </row>
    <row r="36" customFormat="false" ht="24.75" hidden="false" customHeight="true" outlineLevel="0" collapsed="false">
      <c r="A36" s="12" t="s">
        <v>272</v>
      </c>
      <c r="B36" s="12" t="s">
        <v>262</v>
      </c>
      <c r="C36" s="12" t="s">
        <v>263</v>
      </c>
      <c r="D36" s="12" t="s">
        <v>273</v>
      </c>
      <c r="E36" s="12" t="s">
        <v>274</v>
      </c>
      <c r="F36" s="12" t="s">
        <v>132</v>
      </c>
      <c r="G36" s="12" t="n">
        <v>16</v>
      </c>
      <c r="H36" s="12" t="n">
        <v>620</v>
      </c>
      <c r="I36" s="12" t="s">
        <v>145</v>
      </c>
      <c r="J36" s="12" t="s">
        <v>146</v>
      </c>
      <c r="K36" s="12"/>
    </row>
    <row r="37" customFormat="false" ht="31.5" hidden="false" customHeight="true" outlineLevel="0" collapsed="false">
      <c r="A37" s="12" t="s">
        <v>275</v>
      </c>
      <c r="B37" s="12" t="s">
        <v>262</v>
      </c>
      <c r="C37" s="12" t="s">
        <v>148</v>
      </c>
      <c r="D37" s="12" t="s">
        <v>276</v>
      </c>
      <c r="E37" s="12" t="s">
        <v>277</v>
      </c>
      <c r="F37" s="12" t="s">
        <v>151</v>
      </c>
      <c r="G37" s="12" t="n">
        <v>96</v>
      </c>
      <c r="H37" s="12" t="n">
        <v>960</v>
      </c>
      <c r="I37" s="12" t="s">
        <v>145</v>
      </c>
      <c r="J37" s="12" t="s">
        <v>146</v>
      </c>
      <c r="K37" s="12" t="s">
        <v>278</v>
      </c>
    </row>
    <row r="38" customFormat="false" ht="28.5" hidden="false" customHeight="true" outlineLevel="0" collapsed="false">
      <c r="A38" s="12" t="s">
        <v>279</v>
      </c>
      <c r="B38" s="12" t="s">
        <v>280</v>
      </c>
      <c r="C38" s="12" t="s">
        <v>281</v>
      </c>
      <c r="D38" s="12" t="s">
        <v>282</v>
      </c>
      <c r="E38" s="12" t="s">
        <v>283</v>
      </c>
      <c r="F38" s="12" t="s">
        <v>166</v>
      </c>
      <c r="G38" s="12" t="n">
        <v>16</v>
      </c>
      <c r="H38" s="12" t="n">
        <v>35500</v>
      </c>
      <c r="I38" s="12" t="s">
        <v>145</v>
      </c>
      <c r="J38" s="12" t="s">
        <v>146</v>
      </c>
      <c r="K38" s="12" t="s">
        <v>284</v>
      </c>
    </row>
    <row r="39" customFormat="false" ht="27" hidden="false" customHeight="true" outlineLevel="0" collapsed="false">
      <c r="A39" s="12" t="s">
        <v>285</v>
      </c>
      <c r="B39" s="12" t="s">
        <v>280</v>
      </c>
      <c r="C39" s="12" t="s">
        <v>281</v>
      </c>
      <c r="D39" s="12" t="s">
        <v>286</v>
      </c>
      <c r="E39" s="12" t="s">
        <v>287</v>
      </c>
      <c r="F39" s="12" t="s">
        <v>139</v>
      </c>
      <c r="G39" s="12" t="n">
        <v>16</v>
      </c>
      <c r="H39" s="12" t="n">
        <v>1250</v>
      </c>
      <c r="I39" s="12" t="s">
        <v>145</v>
      </c>
      <c r="J39" s="12" t="s">
        <v>146</v>
      </c>
      <c r="K39" s="12"/>
    </row>
    <row r="40" customFormat="false" ht="29.25" hidden="false" customHeight="true" outlineLevel="0" collapsed="false">
      <c r="A40" s="12" t="s">
        <v>288</v>
      </c>
      <c r="B40" s="12" t="s">
        <v>289</v>
      </c>
      <c r="C40" s="12" t="s">
        <v>129</v>
      </c>
      <c r="D40" s="12" t="s">
        <v>290</v>
      </c>
      <c r="E40" s="12" t="s">
        <v>291</v>
      </c>
      <c r="F40" s="12" t="s">
        <v>166</v>
      </c>
      <c r="G40" s="12" t="n">
        <v>16</v>
      </c>
      <c r="H40" s="12" t="n">
        <v>10200</v>
      </c>
      <c r="I40" s="12" t="s">
        <v>145</v>
      </c>
      <c r="J40" s="12" t="s">
        <v>146</v>
      </c>
      <c r="K40" s="12" t="s">
        <v>292</v>
      </c>
    </row>
    <row r="41" customFormat="false" ht="22.5" hidden="false" customHeight="true" outlineLevel="0" collapsed="false">
      <c r="A41" s="12" t="s">
        <v>293</v>
      </c>
      <c r="B41" s="12" t="s">
        <v>289</v>
      </c>
      <c r="C41" s="12" t="s">
        <v>129</v>
      </c>
      <c r="D41" s="12" t="s">
        <v>294</v>
      </c>
      <c r="E41" s="12" t="s">
        <v>295</v>
      </c>
      <c r="F41" s="12" t="s">
        <v>296</v>
      </c>
      <c r="G41" s="12" t="n">
        <v>96</v>
      </c>
      <c r="H41" s="12" t="n">
        <v>24480</v>
      </c>
      <c r="I41" s="12" t="s">
        <v>145</v>
      </c>
      <c r="J41" s="12" t="s">
        <v>146</v>
      </c>
      <c r="K41" s="12"/>
    </row>
    <row r="42" customFormat="false" ht="30" hidden="false" customHeight="true" outlineLevel="0" collapsed="false">
      <c r="A42" s="12" t="s">
        <v>297</v>
      </c>
      <c r="B42" s="12" t="s">
        <v>289</v>
      </c>
      <c r="C42" s="12" t="s">
        <v>129</v>
      </c>
      <c r="D42" s="12" t="s">
        <v>298</v>
      </c>
      <c r="E42" s="12" t="s">
        <v>299</v>
      </c>
      <c r="F42" s="12" t="s">
        <v>139</v>
      </c>
      <c r="G42" s="12" t="n">
        <v>16</v>
      </c>
      <c r="H42" s="12" t="n">
        <v>1250</v>
      </c>
      <c r="I42" s="12" t="s">
        <v>145</v>
      </c>
      <c r="J42" s="12" t="s">
        <v>146</v>
      </c>
      <c r="K42" s="12" t="s">
        <v>300</v>
      </c>
    </row>
    <row r="43" customFormat="false" ht="28.5" hidden="false" customHeight="true" outlineLevel="0" collapsed="false">
      <c r="A43" s="12" t="s">
        <v>301</v>
      </c>
      <c r="B43" s="12" t="s">
        <v>289</v>
      </c>
      <c r="C43" s="12" t="s">
        <v>148</v>
      </c>
      <c r="D43" s="12" t="s">
        <v>302</v>
      </c>
      <c r="E43" s="12" t="s">
        <v>303</v>
      </c>
      <c r="F43" s="12" t="s">
        <v>151</v>
      </c>
      <c r="G43" s="12" t="n">
        <v>96</v>
      </c>
      <c r="H43" s="12" t="n">
        <v>960</v>
      </c>
      <c r="I43" s="12" t="s">
        <v>145</v>
      </c>
      <c r="J43" s="12" t="s">
        <v>146</v>
      </c>
      <c r="K43" s="12" t="s">
        <v>304</v>
      </c>
    </row>
    <row r="44" customFormat="false" ht="18.75" hidden="false" customHeight="true" outlineLevel="0" collapsed="false">
      <c r="A44" s="12" t="s">
        <v>305</v>
      </c>
      <c r="B44" s="12" t="s">
        <v>289</v>
      </c>
      <c r="C44" s="12" t="s">
        <v>306</v>
      </c>
      <c r="D44" s="12" t="s">
        <v>307</v>
      </c>
      <c r="E44" s="12" t="s">
        <v>308</v>
      </c>
      <c r="F44" s="12" t="s">
        <v>309</v>
      </c>
      <c r="G44" s="12" t="n">
        <v>64</v>
      </c>
      <c r="H44" s="12" t="n">
        <v>2200</v>
      </c>
      <c r="I44" s="12" t="s">
        <v>145</v>
      </c>
      <c r="J44" s="12" t="s">
        <v>146</v>
      </c>
      <c r="K44" s="12"/>
    </row>
    <row r="45" customFormat="false" ht="24.75" hidden="false" customHeight="true" outlineLevel="0" collapsed="false">
      <c r="A45" s="12" t="s">
        <v>310</v>
      </c>
      <c r="B45" s="12" t="s">
        <v>289</v>
      </c>
      <c r="C45" s="12" t="s">
        <v>253</v>
      </c>
      <c r="D45" s="12" t="s">
        <v>311</v>
      </c>
      <c r="E45" s="12" t="s">
        <v>312</v>
      </c>
      <c r="F45" s="12" t="s">
        <v>313</v>
      </c>
      <c r="G45" s="12" t="n">
        <v>48</v>
      </c>
      <c r="H45" s="12" t="n">
        <v>800</v>
      </c>
      <c r="I45" s="12" t="s">
        <v>145</v>
      </c>
      <c r="J45" s="12" t="s">
        <v>146</v>
      </c>
      <c r="K45" s="12" t="s">
        <v>314</v>
      </c>
    </row>
    <row r="46" customFormat="false" ht="45.75" hidden="false" customHeight="true" outlineLevel="0" collapsed="false">
      <c r="A46" s="12" t="s">
        <v>315</v>
      </c>
      <c r="B46" s="12" t="s">
        <v>289</v>
      </c>
      <c r="C46" s="12" t="s">
        <v>187</v>
      </c>
      <c r="D46" s="12" t="s">
        <v>316</v>
      </c>
      <c r="E46" s="12" t="s">
        <v>317</v>
      </c>
      <c r="F46" s="12" t="s">
        <v>180</v>
      </c>
      <c r="G46" s="12" t="n">
        <v>4</v>
      </c>
      <c r="H46" s="12"/>
      <c r="I46" s="12" t="s">
        <v>133</v>
      </c>
      <c r="J46" s="12" t="s">
        <v>318</v>
      </c>
      <c r="K46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9.45"/>
    <col collapsed="false" customWidth="true" hidden="false" outlineLevel="0" max="7" min="7" style="1" width="12"/>
    <col collapsed="false" customWidth="true" hidden="false" outlineLevel="0" max="8" min="8" style="1" width="11.82"/>
    <col collapsed="false" customWidth="true" hidden="false" outlineLevel="0" max="11" min="11" style="1" width="81.09"/>
    <col collapsed="false" customWidth="true" hidden="false" outlineLevel="0" max="12" min="12" style="1" width="11.09"/>
  </cols>
  <sheetData>
    <row r="1" customFormat="false" ht="15.75" hidden="false" customHeight="true" outlineLevel="0" collapsed="false">
      <c r="A1" s="16" t="s">
        <v>320</v>
      </c>
    </row>
    <row r="2" customFormat="false" ht="15" hidden="false" customHeight="true" outlineLevel="0" collapsed="false">
      <c r="A2" s="10" t="s">
        <v>321</v>
      </c>
    </row>
    <row r="4" customFormat="false" ht="66" hidden="false" customHeight="true" outlineLevel="0" collapsed="false">
      <c r="A4" s="19" t="s">
        <v>322</v>
      </c>
      <c r="B4" s="19" t="s">
        <v>323</v>
      </c>
      <c r="C4" s="19" t="s">
        <v>324</v>
      </c>
      <c r="D4" s="19" t="s">
        <v>325</v>
      </c>
      <c r="E4" s="19" t="s">
        <v>326</v>
      </c>
      <c r="F4" s="19" t="s">
        <v>126</v>
      </c>
      <c r="G4" s="19" t="s">
        <v>327</v>
      </c>
      <c r="H4" s="19" t="s">
        <v>328</v>
      </c>
      <c r="I4" s="19" t="s">
        <v>329</v>
      </c>
      <c r="J4" s="19" t="s">
        <v>330</v>
      </c>
      <c r="K4" s="19" t="s">
        <v>331</v>
      </c>
    </row>
    <row r="5" s="23" customFormat="true" ht="15" hidden="false" customHeight="true" outlineLevel="0" collapsed="false">
      <c r="A5" s="20" t="s">
        <v>332</v>
      </c>
      <c r="B5" s="21"/>
      <c r="C5" s="21"/>
      <c r="D5" s="21"/>
      <c r="E5" s="21"/>
      <c r="F5" s="21"/>
      <c r="G5" s="22"/>
      <c r="H5" s="21"/>
      <c r="I5" s="21"/>
      <c r="J5" s="21"/>
      <c r="K5" s="21"/>
    </row>
    <row r="6" customFormat="false" ht="23.25" hidden="false" customHeight="true" outlineLevel="0" collapsed="false">
      <c r="A6" s="24" t="s">
        <v>333</v>
      </c>
      <c r="B6" s="25" t="s">
        <v>334</v>
      </c>
      <c r="C6" s="26" t="s">
        <v>335</v>
      </c>
      <c r="D6" s="24" t="s">
        <v>336</v>
      </c>
      <c r="E6" s="27" t="n">
        <v>10977015</v>
      </c>
      <c r="G6" s="28" t="n">
        <v>13.86</v>
      </c>
      <c r="H6" s="24" t="n">
        <v>500</v>
      </c>
      <c r="I6" s="24" t="s">
        <v>337</v>
      </c>
      <c r="J6" s="24"/>
      <c r="K6" s="24" t="s">
        <v>338</v>
      </c>
    </row>
    <row r="7" customFormat="false" ht="23.25" hidden="false" customHeight="true" outlineLevel="0" collapsed="false">
      <c r="A7" s="24" t="s">
        <v>339</v>
      </c>
      <c r="B7" s="25" t="s">
        <v>340</v>
      </c>
      <c r="C7" s="26" t="s">
        <v>341</v>
      </c>
      <c r="D7" s="24" t="s">
        <v>342</v>
      </c>
      <c r="E7" s="24" t="s">
        <v>343</v>
      </c>
      <c r="G7" s="24" t="n">
        <v>19.02</v>
      </c>
      <c r="H7" s="24" t="n">
        <v>500</v>
      </c>
      <c r="I7" s="24" t="s">
        <v>337</v>
      </c>
      <c r="J7" s="24" t="s">
        <v>344</v>
      </c>
      <c r="K7" s="24" t="s">
        <v>345</v>
      </c>
    </row>
    <row r="8" customFormat="false" ht="45.75" hidden="false" customHeight="true" outlineLevel="0" collapsed="false">
      <c r="A8" s="24" t="s">
        <v>346</v>
      </c>
      <c r="B8" s="29" t="s">
        <v>347</v>
      </c>
      <c r="C8" s="29" t="s">
        <v>348</v>
      </c>
      <c r="D8" s="24" t="s">
        <v>349</v>
      </c>
      <c r="E8" s="24" t="s">
        <v>350</v>
      </c>
      <c r="F8" s="29" t="s">
        <v>351</v>
      </c>
      <c r="G8" s="28" t="n">
        <v>109</v>
      </c>
      <c r="H8" s="24" t="n">
        <v>500</v>
      </c>
      <c r="I8" s="24" t="s">
        <v>337</v>
      </c>
      <c r="J8" s="24"/>
      <c r="K8" s="24" t="s">
        <v>352</v>
      </c>
    </row>
    <row r="9" customFormat="false" ht="34.5" hidden="false" customHeight="true" outlineLevel="0" collapsed="false">
      <c r="A9" s="24" t="s">
        <v>353</v>
      </c>
      <c r="B9" s="24" t="s">
        <v>347</v>
      </c>
      <c r="C9" s="24" t="s">
        <v>354</v>
      </c>
      <c r="D9" s="24" t="s">
        <v>355</v>
      </c>
      <c r="E9" s="24" t="s">
        <v>356</v>
      </c>
      <c r="F9" s="24" t="s">
        <v>357</v>
      </c>
      <c r="G9" s="28" t="n">
        <v>49.9</v>
      </c>
      <c r="H9" s="30" t="n">
        <v>250</v>
      </c>
      <c r="I9" s="24" t="s">
        <v>337</v>
      </c>
      <c r="J9" s="24" t="s">
        <v>358</v>
      </c>
      <c r="K9" s="24" t="s">
        <v>359</v>
      </c>
    </row>
    <row r="10" customFormat="false" ht="34.5" hidden="false" customHeight="true" outlineLevel="0" collapsed="false">
      <c r="A10" s="24" t="s">
        <v>360</v>
      </c>
      <c r="B10" s="24" t="s">
        <v>347</v>
      </c>
      <c r="C10" s="24" t="s">
        <v>361</v>
      </c>
      <c r="D10" s="24" t="s">
        <v>362</v>
      </c>
      <c r="E10" s="24" t="s">
        <v>363</v>
      </c>
      <c r="F10" s="24" t="s">
        <v>364</v>
      </c>
      <c r="G10" s="31" t="n">
        <v>1635.9</v>
      </c>
      <c r="H10" s="24" t="n">
        <v>60</v>
      </c>
      <c r="I10" s="24" t="s">
        <v>337</v>
      </c>
      <c r="J10" s="24" t="s">
        <v>365</v>
      </c>
      <c r="K10" s="24" t="s">
        <v>366</v>
      </c>
    </row>
    <row r="11" customFormat="false" ht="15" hidden="false" customHeight="true" outlineLevel="0" collapsed="false">
      <c r="A11" s="24" t="s">
        <v>367</v>
      </c>
      <c r="B11" s="24" t="s">
        <v>368</v>
      </c>
      <c r="C11" s="32" t="s">
        <v>369</v>
      </c>
      <c r="D11" s="24" t="s">
        <v>370</v>
      </c>
      <c r="E11" s="24" t="s">
        <v>371</v>
      </c>
      <c r="F11" s="24" t="s">
        <v>372</v>
      </c>
      <c r="G11" s="28" t="n">
        <v>426.65</v>
      </c>
      <c r="H11" s="24" t="n">
        <v>500</v>
      </c>
      <c r="I11" s="24" t="s">
        <v>373</v>
      </c>
      <c r="J11" s="24"/>
      <c r="K11" s="24" t="s">
        <v>374</v>
      </c>
    </row>
    <row r="12" customFormat="false" ht="34.5" hidden="false" customHeight="true" outlineLevel="0" collapsed="false">
      <c r="A12" s="24" t="s">
        <v>375</v>
      </c>
      <c r="B12" s="24" t="s">
        <v>368</v>
      </c>
      <c r="C12" s="24" t="s">
        <v>376</v>
      </c>
      <c r="D12" s="24" t="s">
        <v>377</v>
      </c>
      <c r="E12" s="24" t="s">
        <v>378</v>
      </c>
      <c r="F12" s="24"/>
      <c r="G12" s="24" t="n">
        <v>606.25</v>
      </c>
      <c r="H12" s="24" t="n">
        <v>1</v>
      </c>
      <c r="I12" s="24" t="s">
        <v>379</v>
      </c>
      <c r="J12" s="24" t="s">
        <v>365</v>
      </c>
      <c r="K12" s="24" t="s">
        <v>380</v>
      </c>
    </row>
    <row r="13" customFormat="false" ht="15" hidden="false" customHeight="true" outlineLevel="0" collapsed="false">
      <c r="A13" s="24" t="s">
        <v>381</v>
      </c>
      <c r="B13" s="24" t="s">
        <v>368</v>
      </c>
      <c r="C13" s="24" t="s">
        <v>382</v>
      </c>
      <c r="D13" s="24" t="s">
        <v>383</v>
      </c>
      <c r="E13" s="24" t="s">
        <v>384</v>
      </c>
      <c r="F13" s="24" t="s">
        <v>385</v>
      </c>
      <c r="G13" s="28" t="n">
        <v>40.52</v>
      </c>
      <c r="H13" s="24" t="n">
        <v>5</v>
      </c>
      <c r="I13" s="24" t="s">
        <v>337</v>
      </c>
      <c r="J13" s="24" t="s">
        <v>386</v>
      </c>
      <c r="K13" s="24" t="s">
        <v>387</v>
      </c>
    </row>
    <row r="14" customFormat="false" ht="15" hidden="false" customHeight="true" outlineLevel="0" collapsed="false">
      <c r="A14" s="24" t="s">
        <v>388</v>
      </c>
      <c r="B14" s="24" t="s">
        <v>368</v>
      </c>
      <c r="C14" s="24" t="s">
        <v>389</v>
      </c>
      <c r="D14" s="24" t="s">
        <v>390</v>
      </c>
      <c r="E14" s="24" t="s">
        <v>391</v>
      </c>
      <c r="F14" s="24"/>
      <c r="G14" s="24"/>
      <c r="H14" s="24"/>
      <c r="I14" s="24"/>
      <c r="J14" s="24"/>
      <c r="K14" s="24" t="s">
        <v>392</v>
      </c>
    </row>
    <row r="15" customFormat="false" ht="23.25" hidden="false" customHeight="true" outlineLevel="0" collapsed="false">
      <c r="A15" s="24" t="s">
        <v>393</v>
      </c>
      <c r="B15" s="25" t="s">
        <v>334</v>
      </c>
      <c r="C15" s="26" t="s">
        <v>394</v>
      </c>
      <c r="D15" s="24" t="s">
        <v>395</v>
      </c>
      <c r="E15" s="24" t="s">
        <v>396</v>
      </c>
      <c r="G15" s="24" t="n">
        <v>47</v>
      </c>
      <c r="H15" s="24" t="n">
        <v>1000</v>
      </c>
      <c r="I15" s="24" t="s">
        <v>397</v>
      </c>
      <c r="J15" s="24" t="s">
        <v>398</v>
      </c>
      <c r="K15" s="24" t="s">
        <v>399</v>
      </c>
    </row>
    <row r="16" customFormat="false" ht="23.25" hidden="false" customHeight="true" outlineLevel="0" collapsed="false">
      <c r="A16" s="24" t="s">
        <v>400</v>
      </c>
      <c r="B16" s="25" t="s">
        <v>334</v>
      </c>
      <c r="C16" s="26" t="s">
        <v>401</v>
      </c>
      <c r="D16" s="24" t="s">
        <v>402</v>
      </c>
      <c r="E16" s="24" t="s">
        <v>403</v>
      </c>
      <c r="G16" s="24" t="n">
        <v>46.2</v>
      </c>
      <c r="H16" s="24" t="n">
        <v>500</v>
      </c>
      <c r="I16" s="24" t="s">
        <v>404</v>
      </c>
      <c r="J16" s="24" t="s">
        <v>386</v>
      </c>
      <c r="K16" s="24" t="s">
        <v>405</v>
      </c>
    </row>
    <row r="17" customFormat="false" ht="23.25" hidden="false" customHeight="true" outlineLevel="0" collapsed="false">
      <c r="A17" s="24" t="s">
        <v>406</v>
      </c>
      <c r="B17" s="25"/>
      <c r="C17" s="26" t="s">
        <v>407</v>
      </c>
      <c r="D17" s="24"/>
      <c r="E17" s="24"/>
      <c r="G17" s="24"/>
      <c r="H17" s="24"/>
      <c r="I17" s="24"/>
      <c r="J17" s="24"/>
      <c r="K17" s="24"/>
    </row>
    <row r="18" customFormat="false" ht="14.25" hidden="false" customHeight="true" outlineLevel="0" collapsed="false">
      <c r="A18" s="24" t="s">
        <v>408</v>
      </c>
      <c r="C18" s="26" t="s">
        <v>409</v>
      </c>
    </row>
    <row r="19" customFormat="false" ht="23.25" hidden="false" customHeight="true" outlineLevel="0" collapsed="false">
      <c r="A19" s="24" t="s">
        <v>410</v>
      </c>
      <c r="B19" s="25" t="s">
        <v>334</v>
      </c>
      <c r="C19" s="26" t="s">
        <v>411</v>
      </c>
      <c r="D19" s="24"/>
      <c r="E19" s="24"/>
      <c r="G19" s="24"/>
      <c r="H19" s="24"/>
      <c r="I19" s="24" t="s">
        <v>397</v>
      </c>
      <c r="J19" s="24"/>
      <c r="K19" s="24" t="s">
        <v>412</v>
      </c>
    </row>
    <row r="20" customFormat="false" ht="23.25" hidden="false" customHeight="true" outlineLevel="0" collapsed="false">
      <c r="A20" s="24" t="s">
        <v>413</v>
      </c>
      <c r="B20" s="25" t="s">
        <v>414</v>
      </c>
      <c r="C20" s="26" t="s">
        <v>415</v>
      </c>
      <c r="D20" s="24" t="s">
        <v>416</v>
      </c>
      <c r="E20" s="24" t="s">
        <v>417</v>
      </c>
      <c r="G20" s="24" t="n">
        <v>4546.5</v>
      </c>
      <c r="H20" s="24" t="n">
        <v>5</v>
      </c>
      <c r="I20" s="24" t="s">
        <v>418</v>
      </c>
      <c r="J20" s="24" t="s">
        <v>419</v>
      </c>
      <c r="K20" s="24" t="s">
        <v>420</v>
      </c>
    </row>
    <row r="21" customFormat="false" ht="23.25" hidden="false" customHeight="true" outlineLevel="0" collapsed="false">
      <c r="A21" s="24" t="s">
        <v>421</v>
      </c>
      <c r="B21" s="25" t="s">
        <v>414</v>
      </c>
      <c r="C21" s="26" t="s">
        <v>422</v>
      </c>
      <c r="D21" s="24" t="s">
        <v>416</v>
      </c>
      <c r="E21" s="24" t="s">
        <v>423</v>
      </c>
      <c r="G21" s="24" t="n">
        <v>4546.5</v>
      </c>
      <c r="H21" s="24" t="n">
        <v>5</v>
      </c>
      <c r="I21" s="24" t="s">
        <v>418</v>
      </c>
      <c r="J21" s="24" t="s">
        <v>419</v>
      </c>
      <c r="K21" s="24" t="s">
        <v>420</v>
      </c>
    </row>
    <row r="22" customFormat="false" ht="23.25" hidden="false" customHeight="true" outlineLevel="0" collapsed="false">
      <c r="A22" s="24" t="s">
        <v>424</v>
      </c>
      <c r="B22" s="25" t="s">
        <v>425</v>
      </c>
      <c r="C22" s="26" t="s">
        <v>426</v>
      </c>
      <c r="D22" s="24" t="s">
        <v>416</v>
      </c>
      <c r="E22" s="24" t="s">
        <v>427</v>
      </c>
      <c r="G22" s="24" t="n">
        <v>517</v>
      </c>
      <c r="H22" s="24" t="n">
        <v>20</v>
      </c>
      <c r="I22" s="24" t="s">
        <v>397</v>
      </c>
      <c r="J22" s="24"/>
      <c r="K22" s="24"/>
    </row>
    <row r="23" customFormat="false" ht="23.25" hidden="false" customHeight="true" outlineLevel="0" collapsed="false">
      <c r="A23" s="24" t="s">
        <v>428</v>
      </c>
      <c r="B23" s="25" t="s">
        <v>425</v>
      </c>
      <c r="C23" s="26" t="s">
        <v>429</v>
      </c>
      <c r="D23" s="24" t="s">
        <v>416</v>
      </c>
      <c r="E23" s="24" t="s">
        <v>427</v>
      </c>
      <c r="G23" s="24" t="n">
        <v>517</v>
      </c>
      <c r="H23" s="24" t="n">
        <v>20</v>
      </c>
      <c r="I23" s="24" t="s">
        <v>397</v>
      </c>
      <c r="J23" s="24" t="s">
        <v>358</v>
      </c>
      <c r="K23" s="24" t="s">
        <v>430</v>
      </c>
    </row>
    <row r="24" customFormat="false" ht="24.75" hidden="false" customHeight="true" outlineLevel="0" collapsed="false">
      <c r="A24" s="24" t="s">
        <v>431</v>
      </c>
      <c r="B24" s="25" t="s">
        <v>425</v>
      </c>
      <c r="C24" s="29" t="s">
        <v>432</v>
      </c>
      <c r="D24" s="29" t="s">
        <v>416</v>
      </c>
      <c r="E24" s="29" t="s">
        <v>433</v>
      </c>
      <c r="F24" s="29" t="s">
        <v>434</v>
      </c>
      <c r="G24" s="33" t="n">
        <v>229</v>
      </c>
      <c r="H24" s="1" t="n">
        <v>1000</v>
      </c>
      <c r="I24" s="29" t="s">
        <v>397</v>
      </c>
    </row>
    <row r="25" customFormat="false" ht="23.25" hidden="false" customHeight="true" outlineLevel="0" collapsed="false">
      <c r="A25" s="24" t="s">
        <v>435</v>
      </c>
      <c r="B25" s="25" t="s">
        <v>334</v>
      </c>
      <c r="C25" s="26" t="s">
        <v>436</v>
      </c>
      <c r="D25" s="24"/>
      <c r="E25" s="24"/>
      <c r="G25" s="24"/>
      <c r="H25" s="24"/>
      <c r="I25" s="24" t="s">
        <v>397</v>
      </c>
      <c r="J25" s="24"/>
      <c r="K25" s="24" t="s">
        <v>437</v>
      </c>
    </row>
    <row r="26" customFormat="false" ht="23.25" hidden="false" customHeight="true" outlineLevel="0" collapsed="false">
      <c r="A26" s="24" t="s">
        <v>438</v>
      </c>
      <c r="B26" s="25" t="s">
        <v>334</v>
      </c>
      <c r="C26" s="26" t="s">
        <v>439</v>
      </c>
      <c r="D26" s="24" t="s">
        <v>440</v>
      </c>
      <c r="E26" s="24" t="s">
        <v>441</v>
      </c>
      <c r="G26" s="24" t="n">
        <v>44</v>
      </c>
      <c r="H26" s="24" t="n">
        <v>250</v>
      </c>
      <c r="I26" s="24" t="s">
        <v>337</v>
      </c>
      <c r="J26" s="24" t="s">
        <v>442</v>
      </c>
      <c r="K26" s="24" t="s">
        <v>443</v>
      </c>
    </row>
    <row r="27" customFormat="false" ht="23.25" hidden="false" customHeight="true" outlineLevel="0" collapsed="false">
      <c r="A27" s="24" t="s">
        <v>444</v>
      </c>
      <c r="B27" s="25" t="s">
        <v>334</v>
      </c>
      <c r="C27" s="26" t="s">
        <v>445</v>
      </c>
      <c r="D27" s="24" t="s">
        <v>446</v>
      </c>
      <c r="E27" s="24" t="s">
        <v>447</v>
      </c>
      <c r="G27" s="24" t="n">
        <v>14.55</v>
      </c>
      <c r="H27" s="24" t="n">
        <v>1000</v>
      </c>
      <c r="I27" s="24" t="s">
        <v>337</v>
      </c>
      <c r="J27" s="24" t="s">
        <v>448</v>
      </c>
      <c r="K27" s="24" t="s">
        <v>449</v>
      </c>
    </row>
    <row r="28" customFormat="false" ht="23.25" hidden="false" customHeight="true" outlineLevel="0" collapsed="false">
      <c r="A28" s="24" t="s">
        <v>450</v>
      </c>
      <c r="B28" s="25" t="s">
        <v>334</v>
      </c>
      <c r="C28" s="26" t="s">
        <v>451</v>
      </c>
      <c r="D28" s="24" t="s">
        <v>402</v>
      </c>
      <c r="E28" s="24" t="s">
        <v>452</v>
      </c>
      <c r="G28" s="24" t="n">
        <v>57</v>
      </c>
      <c r="H28" s="24" t="n">
        <v>100</v>
      </c>
      <c r="I28" s="24" t="s">
        <v>337</v>
      </c>
      <c r="J28" s="24" t="s">
        <v>453</v>
      </c>
      <c r="K28" s="24" t="s">
        <v>454</v>
      </c>
    </row>
    <row r="29" customFormat="false" ht="23.25" hidden="false" customHeight="true" outlineLevel="0" collapsed="false">
      <c r="A29" s="24" t="s">
        <v>455</v>
      </c>
      <c r="B29" s="25" t="s">
        <v>334</v>
      </c>
      <c r="C29" s="26" t="s">
        <v>456</v>
      </c>
      <c r="D29" s="24" t="s">
        <v>402</v>
      </c>
      <c r="E29" s="24" t="s">
        <v>457</v>
      </c>
      <c r="G29" s="24" t="n">
        <v>106</v>
      </c>
      <c r="H29" s="24" t="n">
        <v>500</v>
      </c>
      <c r="I29" s="24" t="s">
        <v>337</v>
      </c>
      <c r="J29" s="24" t="s">
        <v>458</v>
      </c>
      <c r="K29" s="24" t="s">
        <v>459</v>
      </c>
    </row>
    <row r="30" customFormat="false" ht="23.25" hidden="false" customHeight="true" outlineLevel="0" collapsed="false">
      <c r="A30" s="24" t="s">
        <v>460</v>
      </c>
      <c r="B30" s="25" t="s">
        <v>334</v>
      </c>
      <c r="C30" s="26" t="s">
        <v>461</v>
      </c>
      <c r="D30" s="24" t="s">
        <v>462</v>
      </c>
      <c r="E30" s="24" t="s">
        <v>463</v>
      </c>
      <c r="G30" s="24" t="n">
        <v>124.65</v>
      </c>
      <c r="H30" s="24" t="n">
        <v>1</v>
      </c>
      <c r="I30" s="24" t="s">
        <v>337</v>
      </c>
      <c r="J30" s="24" t="s">
        <v>464</v>
      </c>
      <c r="K30" s="24" t="s">
        <v>465</v>
      </c>
    </row>
    <row r="31" customFormat="false" ht="23.25" hidden="false" customHeight="true" outlineLevel="0" collapsed="false">
      <c r="A31" s="24" t="s">
        <v>466</v>
      </c>
      <c r="B31" s="25" t="s">
        <v>467</v>
      </c>
      <c r="C31" s="26" t="s">
        <v>468</v>
      </c>
      <c r="D31" s="24" t="s">
        <v>469</v>
      </c>
      <c r="E31" s="34" t="s">
        <v>470</v>
      </c>
      <c r="G31" s="24" t="n">
        <v>103.8</v>
      </c>
      <c r="H31" s="24" t="n">
        <v>25</v>
      </c>
      <c r="I31" s="24" t="s">
        <v>404</v>
      </c>
      <c r="J31" s="24" t="s">
        <v>471</v>
      </c>
      <c r="K31" s="24" t="s">
        <v>472</v>
      </c>
    </row>
    <row r="32" customFormat="false" ht="37.5" hidden="false" customHeight="true" outlineLevel="0" collapsed="false">
      <c r="A32" s="24" t="s">
        <v>473</v>
      </c>
      <c r="B32" s="29" t="s">
        <v>474</v>
      </c>
      <c r="C32" s="29" t="s">
        <v>475</v>
      </c>
      <c r="D32" s="24" t="s">
        <v>476</v>
      </c>
      <c r="E32" s="24" t="s">
        <v>477</v>
      </c>
      <c r="F32" s="29" t="s">
        <v>478</v>
      </c>
      <c r="G32" s="24" t="n">
        <v>6.78</v>
      </c>
      <c r="H32" s="24" t="n">
        <v>500</v>
      </c>
      <c r="I32" s="24" t="s">
        <v>337</v>
      </c>
      <c r="J32" s="24" t="s">
        <v>145</v>
      </c>
      <c r="K32" s="24" t="s">
        <v>479</v>
      </c>
    </row>
    <row r="33" customFormat="false" ht="27.75" hidden="false" customHeight="true" outlineLevel="0" collapsed="false">
      <c r="A33" s="24" t="s">
        <v>480</v>
      </c>
      <c r="B33" s="29" t="s">
        <v>474</v>
      </c>
      <c r="C33" s="29" t="s">
        <v>481</v>
      </c>
      <c r="D33" s="24" t="s">
        <v>440</v>
      </c>
      <c r="E33" s="24" t="n">
        <v>600212</v>
      </c>
      <c r="F33" s="29"/>
      <c r="G33" s="24" t="n">
        <v>32</v>
      </c>
      <c r="H33" s="24" t="n">
        <v>100</v>
      </c>
      <c r="I33" s="24" t="s">
        <v>337</v>
      </c>
      <c r="J33" s="24" t="s">
        <v>442</v>
      </c>
      <c r="K33" s="24" t="s">
        <v>482</v>
      </c>
    </row>
    <row r="34" customFormat="false" ht="34.5" hidden="false" customHeight="true" outlineLevel="0" collapsed="false">
      <c r="A34" s="24" t="s">
        <v>483</v>
      </c>
      <c r="B34" s="29" t="s">
        <v>474</v>
      </c>
      <c r="C34" s="29" t="s">
        <v>484</v>
      </c>
      <c r="D34" s="24" t="s">
        <v>485</v>
      </c>
      <c r="E34" s="24" t="s">
        <v>486</v>
      </c>
      <c r="F34" s="29" t="s">
        <v>487</v>
      </c>
      <c r="G34" s="24" t="n">
        <v>388</v>
      </c>
      <c r="H34" s="24" t="n">
        <v>100</v>
      </c>
      <c r="I34" s="24" t="s">
        <v>488</v>
      </c>
      <c r="J34" s="24" t="s">
        <v>489</v>
      </c>
      <c r="K34" s="24" t="s">
        <v>490</v>
      </c>
    </row>
    <row r="35" customFormat="false" ht="33" hidden="false" customHeight="true" outlineLevel="0" collapsed="false">
      <c r="A35" s="24" t="s">
        <v>491</v>
      </c>
      <c r="B35" s="29" t="s">
        <v>474</v>
      </c>
      <c r="C35" s="29" t="s">
        <v>492</v>
      </c>
      <c r="D35" s="24" t="s">
        <v>493</v>
      </c>
      <c r="E35" s="35" t="s">
        <v>494</v>
      </c>
      <c r="F35" s="29"/>
      <c r="G35" s="24" t="n">
        <v>606</v>
      </c>
      <c r="H35" s="24" t="n">
        <v>25</v>
      </c>
      <c r="I35" s="24" t="s">
        <v>337</v>
      </c>
      <c r="J35" s="24"/>
      <c r="K35" s="24" t="s">
        <v>495</v>
      </c>
    </row>
    <row r="36" customFormat="false" ht="31.5" hidden="false" customHeight="true" outlineLevel="0" collapsed="false">
      <c r="A36" s="24" t="s">
        <v>496</v>
      </c>
      <c r="B36" s="29" t="s">
        <v>497</v>
      </c>
      <c r="C36" s="29" t="s">
        <v>498</v>
      </c>
      <c r="D36" s="24"/>
      <c r="E36" s="24"/>
      <c r="G36" s="24"/>
      <c r="H36" s="24"/>
      <c r="I36" s="24"/>
      <c r="J36" s="24"/>
      <c r="K36" s="24" t="s">
        <v>499</v>
      </c>
    </row>
    <row r="37" customFormat="false" ht="41.25" hidden="false" customHeight="true" outlineLevel="0" collapsed="false">
      <c r="A37" s="24" t="s">
        <v>500</v>
      </c>
      <c r="B37" s="29" t="s">
        <v>501</v>
      </c>
      <c r="C37" s="29" t="s">
        <v>502</v>
      </c>
      <c r="D37" s="24" t="s">
        <v>342</v>
      </c>
      <c r="E37" s="24" t="s">
        <v>503</v>
      </c>
      <c r="G37" s="24" t="n">
        <v>356.71</v>
      </c>
      <c r="H37" s="24" t="n">
        <v>500</v>
      </c>
      <c r="I37" s="24" t="s">
        <v>337</v>
      </c>
      <c r="J37" s="24" t="s">
        <v>504</v>
      </c>
      <c r="K37" s="24" t="s">
        <v>505</v>
      </c>
    </row>
    <row r="38" customFormat="false" ht="40.5" hidden="false" customHeight="true" outlineLevel="0" collapsed="false">
      <c r="A38" s="24" t="s">
        <v>506</v>
      </c>
      <c r="B38" s="29" t="s">
        <v>507</v>
      </c>
      <c r="C38" s="29" t="s">
        <v>508</v>
      </c>
      <c r="D38" s="24"/>
      <c r="E38" s="24"/>
      <c r="G38" s="24"/>
      <c r="H38" s="24"/>
      <c r="I38" s="24"/>
      <c r="J38" s="24"/>
      <c r="K38" s="24" t="s">
        <v>509</v>
      </c>
    </row>
    <row r="39" customFormat="false" ht="37.5" hidden="false" customHeight="true" outlineLevel="0" collapsed="false">
      <c r="A39" s="24" t="s">
        <v>510</v>
      </c>
      <c r="B39" s="29" t="s">
        <v>511</v>
      </c>
      <c r="C39" s="29" t="s">
        <v>512</v>
      </c>
      <c r="D39" s="24" t="s">
        <v>513</v>
      </c>
      <c r="E39" s="24" t="s">
        <v>514</v>
      </c>
      <c r="G39" s="24" t="n">
        <v>263.34</v>
      </c>
      <c r="H39" s="24" t="n">
        <v>100</v>
      </c>
      <c r="I39" s="24" t="s">
        <v>337</v>
      </c>
      <c r="J39" s="24" t="s">
        <v>515</v>
      </c>
      <c r="K39" s="24" t="s">
        <v>516</v>
      </c>
    </row>
    <row r="40" customFormat="false" ht="14.25" hidden="false" customHeight="true" outlineLevel="0" collapsed="false">
      <c r="A40" s="24"/>
      <c r="B40" s="29"/>
      <c r="C40" s="29"/>
      <c r="D40" s="24"/>
      <c r="E40" s="24"/>
      <c r="G40" s="24"/>
      <c r="H40" s="24"/>
      <c r="I40" s="24"/>
      <c r="J40" s="24"/>
      <c r="K40" s="24"/>
    </row>
    <row r="41" s="23" customFormat="true" ht="14.25" hidden="false" customHeight="true" outlineLevel="0" collapsed="false">
      <c r="A41" s="20" t="s">
        <v>517</v>
      </c>
      <c r="B41" s="36" t="s">
        <v>289</v>
      </c>
      <c r="C41" s="36" t="s">
        <v>518</v>
      </c>
      <c r="D41" s="21" t="s">
        <v>519</v>
      </c>
      <c r="E41" s="21" t="s">
        <v>520</v>
      </c>
      <c r="F41" s="23" t="s">
        <v>521</v>
      </c>
      <c r="G41" s="21" t="n">
        <v>101.25</v>
      </c>
      <c r="H41" s="21" t="n">
        <v>25</v>
      </c>
      <c r="I41" s="21" t="s">
        <v>337</v>
      </c>
      <c r="J41" s="21"/>
      <c r="K41" s="21" t="s">
        <v>522</v>
      </c>
    </row>
    <row r="42" customFormat="false" ht="14.25" hidden="false" customHeight="true" outlineLevel="0" collapsed="false">
      <c r="A42" s="20" t="s">
        <v>523</v>
      </c>
      <c r="B42" s="36" t="s">
        <v>289</v>
      </c>
      <c r="C42" s="36" t="s">
        <v>524</v>
      </c>
      <c r="D42" s="21" t="s">
        <v>349</v>
      </c>
      <c r="E42" s="21" t="s">
        <v>525</v>
      </c>
      <c r="F42" s="1" t="s">
        <v>526</v>
      </c>
      <c r="G42" s="21" t="n">
        <v>62.79</v>
      </c>
      <c r="H42" s="21" t="n">
        <v>100</v>
      </c>
      <c r="I42" s="21" t="s">
        <v>337</v>
      </c>
      <c r="J42" s="21"/>
      <c r="K42" s="21" t="s">
        <v>527</v>
      </c>
    </row>
    <row r="43" customFormat="false" ht="15" hidden="false" customHeight="true" outlineLevel="0" collapsed="false">
      <c r="A43" s="20" t="s">
        <v>528</v>
      </c>
      <c r="B43" s="36"/>
      <c r="C43" s="36"/>
      <c r="D43" s="21"/>
      <c r="E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A44" s="24"/>
      <c r="B44" s="29"/>
      <c r="C44" s="29"/>
      <c r="D44" s="24"/>
      <c r="E44" s="24"/>
      <c r="G44" s="24"/>
      <c r="H44" s="24"/>
      <c r="I44" s="24"/>
      <c r="J44" s="24"/>
      <c r="K44" s="24"/>
    </row>
    <row r="45" customFormat="false" ht="23.25" hidden="false" customHeight="true" outlineLevel="0" collapsed="false">
      <c r="A45" s="24" t="s">
        <v>529</v>
      </c>
      <c r="B45" s="24" t="s">
        <v>368</v>
      </c>
      <c r="C45" s="32" t="s">
        <v>530</v>
      </c>
      <c r="D45" s="24" t="s">
        <v>531</v>
      </c>
      <c r="E45" s="24" t="s">
        <v>532</v>
      </c>
      <c r="F45" s="32" t="s">
        <v>533</v>
      </c>
      <c r="G45" s="24" t="n">
        <v>46.71</v>
      </c>
      <c r="H45" s="24" t="n">
        <v>1536</v>
      </c>
      <c r="I45" s="24" t="s">
        <v>534</v>
      </c>
      <c r="J45" s="24" t="s">
        <v>535</v>
      </c>
      <c r="K45" s="24"/>
    </row>
    <row r="46" customFormat="false" ht="23.25" hidden="false" customHeight="true" outlineLevel="0" collapsed="false">
      <c r="A46" s="24" t="s">
        <v>536</v>
      </c>
      <c r="B46" s="24" t="s">
        <v>368</v>
      </c>
      <c r="C46" s="32" t="s">
        <v>537</v>
      </c>
      <c r="D46" s="24" t="s">
        <v>531</v>
      </c>
      <c r="E46" s="24" t="s">
        <v>538</v>
      </c>
      <c r="F46" s="32" t="s">
        <v>533</v>
      </c>
      <c r="G46" s="24" t="n">
        <v>180.4</v>
      </c>
      <c r="H46" s="24" t="n">
        <v>9600</v>
      </c>
      <c r="I46" s="24" t="s">
        <v>534</v>
      </c>
      <c r="J46" s="24" t="s">
        <v>489</v>
      </c>
      <c r="K46" s="24" t="s">
        <v>539</v>
      </c>
    </row>
    <row r="47" customFormat="false" ht="23.25" hidden="false" customHeight="true" outlineLevel="0" collapsed="false">
      <c r="A47" s="24" t="s">
        <v>540</v>
      </c>
      <c r="B47" s="24" t="s">
        <v>368</v>
      </c>
      <c r="C47" s="32" t="s">
        <v>541</v>
      </c>
      <c r="D47" s="24" t="s">
        <v>542</v>
      </c>
      <c r="E47" s="24"/>
      <c r="F47" s="32" t="s">
        <v>533</v>
      </c>
      <c r="G47" s="24" t="n">
        <v>180.4</v>
      </c>
      <c r="H47" s="24" t="n">
        <v>9600</v>
      </c>
      <c r="I47" s="24" t="s">
        <v>534</v>
      </c>
      <c r="J47" s="24"/>
      <c r="K47" s="24" t="s">
        <v>543</v>
      </c>
    </row>
    <row r="48" customFormat="false" ht="23.25" hidden="false" customHeight="true" outlineLevel="0" collapsed="false">
      <c r="A48" s="24" t="s">
        <v>544</v>
      </c>
      <c r="B48" s="24" t="s">
        <v>368</v>
      </c>
      <c r="C48" s="24" t="s">
        <v>545</v>
      </c>
      <c r="D48" s="24" t="s">
        <v>546</v>
      </c>
      <c r="E48" s="24" t="s">
        <v>547</v>
      </c>
      <c r="F48" s="24"/>
      <c r="G48" s="28" t="n">
        <v>44.89</v>
      </c>
      <c r="H48" s="24" t="n">
        <v>250</v>
      </c>
      <c r="I48" s="24" t="s">
        <v>548</v>
      </c>
      <c r="J48" s="24" t="s">
        <v>549</v>
      </c>
      <c r="K48" s="24" t="s">
        <v>550</v>
      </c>
    </row>
    <row r="49" customFormat="false" ht="23.25" hidden="false" customHeight="true" outlineLevel="0" collapsed="false">
      <c r="A49" s="24" t="s">
        <v>551</v>
      </c>
      <c r="B49" s="24"/>
      <c r="C49" s="24" t="s">
        <v>552</v>
      </c>
      <c r="D49" s="24" t="s">
        <v>546</v>
      </c>
      <c r="E49" s="24"/>
      <c r="F49" s="24"/>
      <c r="G49" s="28" t="n">
        <v>44.89</v>
      </c>
      <c r="H49" s="24" t="n">
        <v>250</v>
      </c>
      <c r="I49" s="24" t="s">
        <v>548</v>
      </c>
      <c r="J49" s="24" t="s">
        <v>549</v>
      </c>
      <c r="K49" s="24" t="s">
        <v>550</v>
      </c>
    </row>
    <row r="50" customFormat="false" ht="15" hidden="false" customHeight="true" outlineLevel="0" collapsed="false">
      <c r="A50" s="24" t="s">
        <v>553</v>
      </c>
      <c r="B50" s="24"/>
      <c r="C50" s="24" t="s">
        <v>554</v>
      </c>
      <c r="D50" s="24" t="s">
        <v>342</v>
      </c>
      <c r="E50" s="24" t="n">
        <v>352097</v>
      </c>
      <c r="F50" s="24"/>
      <c r="G50" s="28" t="n">
        <v>11.11</v>
      </c>
      <c r="H50" s="24" t="n">
        <v>50</v>
      </c>
      <c r="I50" s="24" t="s">
        <v>548</v>
      </c>
      <c r="J50" s="24"/>
      <c r="K50" s="24"/>
    </row>
    <row r="51" customFormat="false" ht="27" hidden="false" customHeight="true" outlineLevel="0" collapsed="false">
      <c r="A51" s="24" t="s">
        <v>555</v>
      </c>
      <c r="B51" s="24"/>
      <c r="C51" s="24" t="s">
        <v>556</v>
      </c>
      <c r="D51" s="24" t="s">
        <v>342</v>
      </c>
      <c r="E51" s="24" t="n">
        <v>352070</v>
      </c>
      <c r="F51" s="24"/>
      <c r="G51" s="28" t="n">
        <v>6.1</v>
      </c>
      <c r="H51" s="24" t="n">
        <v>25</v>
      </c>
      <c r="I51" s="24" t="s">
        <v>548</v>
      </c>
      <c r="J51" s="24"/>
      <c r="K51" s="24"/>
    </row>
    <row r="52" customFormat="false" ht="32.25" hidden="false" customHeight="true" outlineLevel="0" collapsed="false">
      <c r="A52" s="24" t="s">
        <v>557</v>
      </c>
      <c r="B52" s="24" t="s">
        <v>368</v>
      </c>
      <c r="C52" s="32" t="s">
        <v>558</v>
      </c>
      <c r="D52" s="24" t="s">
        <v>559</v>
      </c>
      <c r="E52" s="24" t="s">
        <v>560</v>
      </c>
      <c r="F52" s="32" t="s">
        <v>561</v>
      </c>
      <c r="G52" s="24" t="n">
        <v>97.55</v>
      </c>
      <c r="H52" s="24" t="n">
        <v>125</v>
      </c>
      <c r="I52" s="24" t="s">
        <v>562</v>
      </c>
      <c r="J52" s="24" t="s">
        <v>489</v>
      </c>
      <c r="K52" s="24"/>
    </row>
    <row r="53" customFormat="false" ht="23.25" hidden="false" customHeight="true" outlineLevel="0" collapsed="false">
      <c r="A53" s="24" t="s">
        <v>563</v>
      </c>
      <c r="B53" s="29" t="s">
        <v>474</v>
      </c>
      <c r="C53" s="29" t="s">
        <v>564</v>
      </c>
      <c r="D53" s="24" t="s">
        <v>493</v>
      </c>
      <c r="E53" s="24" t="s">
        <v>565</v>
      </c>
      <c r="F53" s="29"/>
      <c r="G53" s="31" t="n">
        <v>5107</v>
      </c>
      <c r="H53" s="24" t="n">
        <v>200</v>
      </c>
      <c r="I53" s="24" t="s">
        <v>566</v>
      </c>
      <c r="J53" s="24"/>
      <c r="K53" s="24" t="s">
        <v>567</v>
      </c>
    </row>
    <row r="54" customFormat="false" ht="15" hidden="false" customHeight="true" outlineLevel="0" collapsed="false">
      <c r="A54" s="24" t="s">
        <v>568</v>
      </c>
      <c r="B54" s="29" t="s">
        <v>474</v>
      </c>
      <c r="C54" s="29" t="s">
        <v>569</v>
      </c>
      <c r="D54" s="24" t="s">
        <v>570</v>
      </c>
      <c r="E54" s="24"/>
      <c r="F54" s="29"/>
      <c r="G54" s="31" t="n">
        <v>195</v>
      </c>
      <c r="H54" s="24" t="n">
        <v>50</v>
      </c>
      <c r="I54" s="24" t="s">
        <v>571</v>
      </c>
      <c r="J54" s="24"/>
      <c r="K54" s="24" t="s">
        <v>572</v>
      </c>
    </row>
    <row r="55" customFormat="false" ht="14.25" hidden="false" customHeight="true" outlineLevel="0" collapsed="false">
      <c r="A55" s="24" t="s">
        <v>573</v>
      </c>
      <c r="B55" s="25" t="s">
        <v>334</v>
      </c>
      <c r="C55" s="26" t="s">
        <v>574</v>
      </c>
      <c r="D55" s="24" t="s">
        <v>575</v>
      </c>
      <c r="E55" s="24" t="s">
        <v>576</v>
      </c>
      <c r="G55" s="24" t="n">
        <v>114</v>
      </c>
      <c r="H55" s="24" t="n">
        <v>50</v>
      </c>
      <c r="I55" s="24" t="s">
        <v>571</v>
      </c>
      <c r="J55" s="24" t="s">
        <v>577</v>
      </c>
      <c r="K55" s="24" t="s">
        <v>578</v>
      </c>
    </row>
    <row r="56" customFormat="false" ht="292.5" hidden="false" customHeight="true" outlineLevel="0" collapsed="false">
      <c r="A56" s="24" t="s">
        <v>579</v>
      </c>
      <c r="B56" s="24" t="s">
        <v>368</v>
      </c>
      <c r="C56" s="32" t="s">
        <v>580</v>
      </c>
      <c r="D56" s="24" t="s">
        <v>581</v>
      </c>
      <c r="E56" s="24" t="s">
        <v>582</v>
      </c>
      <c r="F56" s="24" t="s">
        <v>372</v>
      </c>
      <c r="G56" s="28" t="n">
        <v>135</v>
      </c>
      <c r="H56" s="24" t="n">
        <v>500</v>
      </c>
      <c r="I56" s="24" t="s">
        <v>548</v>
      </c>
      <c r="J56" s="24"/>
      <c r="K56" s="24" t="s">
        <v>583</v>
      </c>
    </row>
    <row r="57" customFormat="false" ht="14.25" hidden="false" customHeight="true" outlineLevel="0" collapsed="false">
      <c r="A57" s="24" t="s">
        <v>584</v>
      </c>
      <c r="C57" s="37" t="s">
        <v>585</v>
      </c>
      <c r="D57" s="24" t="s">
        <v>586</v>
      </c>
      <c r="E57" s="27" t="s">
        <v>587</v>
      </c>
      <c r="F57" s="1" t="s">
        <v>588</v>
      </c>
      <c r="G57" s="28" t="n">
        <v>19.16</v>
      </c>
      <c r="H57" s="24" t="n">
        <v>12</v>
      </c>
    </row>
    <row r="58" customFormat="false" ht="135.75" hidden="false" customHeight="true" outlineLevel="0" collapsed="false">
      <c r="A58" s="24" t="s">
        <v>589</v>
      </c>
      <c r="B58" s="25" t="s">
        <v>590</v>
      </c>
      <c r="C58" s="26" t="s">
        <v>591</v>
      </c>
      <c r="D58" s="24" t="s">
        <v>592</v>
      </c>
      <c r="E58" s="27" t="s">
        <v>593</v>
      </c>
      <c r="F58" s="1" t="s">
        <v>594</v>
      </c>
      <c r="G58" s="24"/>
      <c r="H58" s="24" t="n">
        <v>1</v>
      </c>
      <c r="I58" s="24" t="s">
        <v>379</v>
      </c>
      <c r="J58" s="24"/>
      <c r="K58" s="24" t="s">
        <v>594</v>
      </c>
    </row>
    <row r="59" customFormat="false" ht="90.75" hidden="false" customHeight="true" outlineLevel="0" collapsed="false">
      <c r="A59" s="24" t="s">
        <v>595</v>
      </c>
      <c r="B59" s="25" t="s">
        <v>590</v>
      </c>
      <c r="C59" s="26" t="s">
        <v>596</v>
      </c>
      <c r="D59" s="24" t="s">
        <v>597</v>
      </c>
      <c r="E59" s="27" t="s">
        <v>598</v>
      </c>
      <c r="F59" s="1" t="s">
        <v>599</v>
      </c>
      <c r="G59" s="24"/>
      <c r="H59" s="24" t="n">
        <v>1</v>
      </c>
      <c r="I59" s="24" t="s">
        <v>373</v>
      </c>
      <c r="J59" s="24"/>
      <c r="K59" s="24" t="s">
        <v>599</v>
      </c>
    </row>
    <row r="60" customFormat="false" ht="90.75" hidden="false" customHeight="true" outlineLevel="0" collapsed="false">
      <c r="A60" s="24" t="s">
        <v>600</v>
      </c>
      <c r="B60" s="25" t="s">
        <v>590</v>
      </c>
      <c r="C60" s="26" t="s">
        <v>601</v>
      </c>
      <c r="D60" s="24" t="s">
        <v>416</v>
      </c>
      <c r="E60" s="27" t="s">
        <v>602</v>
      </c>
      <c r="F60" s="1" t="s">
        <v>603</v>
      </c>
      <c r="G60" s="24"/>
      <c r="H60" s="24" t="n">
        <v>1</v>
      </c>
      <c r="I60" s="24" t="s">
        <v>373</v>
      </c>
      <c r="J60" s="24"/>
      <c r="K60" s="24" t="s">
        <v>603</v>
      </c>
    </row>
    <row r="61" customFormat="false" ht="68.25" hidden="false" customHeight="true" outlineLevel="0" collapsed="false">
      <c r="A61" s="24" t="s">
        <v>604</v>
      </c>
      <c r="B61" s="25" t="s">
        <v>590</v>
      </c>
      <c r="C61" s="26" t="s">
        <v>605</v>
      </c>
      <c r="D61" s="24" t="s">
        <v>416</v>
      </c>
      <c r="E61" s="27" t="s">
        <v>606</v>
      </c>
      <c r="F61" s="1" t="s">
        <v>607</v>
      </c>
      <c r="G61" s="24"/>
      <c r="H61" s="24" t="n">
        <v>100</v>
      </c>
      <c r="I61" s="24" t="s">
        <v>608</v>
      </c>
      <c r="J61" s="24"/>
      <c r="K61" s="24" t="s">
        <v>607</v>
      </c>
    </row>
    <row r="62" customFormat="false" ht="79.5" hidden="false" customHeight="true" outlineLevel="0" collapsed="false">
      <c r="A62" s="24" t="s">
        <v>609</v>
      </c>
      <c r="B62" s="25" t="s">
        <v>590</v>
      </c>
      <c r="C62" s="26" t="s">
        <v>610</v>
      </c>
      <c r="D62" s="24" t="s">
        <v>611</v>
      </c>
      <c r="E62" s="27" t="s">
        <v>612</v>
      </c>
      <c r="F62" s="1" t="s">
        <v>613</v>
      </c>
      <c r="G62" s="24"/>
      <c r="H62" s="24" t="n">
        <v>1</v>
      </c>
      <c r="I62" s="24" t="s">
        <v>379</v>
      </c>
      <c r="J62" s="24"/>
      <c r="K62" s="24" t="s">
        <v>613</v>
      </c>
    </row>
    <row r="63" customFormat="false" ht="79.5" hidden="false" customHeight="true" outlineLevel="0" collapsed="false">
      <c r="A63" s="24" t="s">
        <v>614</v>
      </c>
      <c r="B63" s="25" t="s">
        <v>590</v>
      </c>
      <c r="C63" s="26" t="s">
        <v>615</v>
      </c>
      <c r="D63" s="24" t="s">
        <v>616</v>
      </c>
      <c r="E63" s="27" t="s">
        <v>617</v>
      </c>
      <c r="F63" s="1" t="s">
        <v>618</v>
      </c>
      <c r="G63" s="24"/>
      <c r="H63" s="24" t="n">
        <v>1</v>
      </c>
      <c r="I63" s="24" t="s">
        <v>337</v>
      </c>
      <c r="J63" s="24"/>
      <c r="K63" s="24" t="s">
        <v>618</v>
      </c>
    </row>
    <row r="64" customFormat="false" ht="135.75" hidden="false" customHeight="true" outlineLevel="0" collapsed="false">
      <c r="A64" s="24" t="s">
        <v>619</v>
      </c>
      <c r="B64" s="25" t="s">
        <v>590</v>
      </c>
      <c r="C64" s="26" t="s">
        <v>620</v>
      </c>
      <c r="D64" s="24" t="s">
        <v>621</v>
      </c>
      <c r="E64" s="27" t="s">
        <v>622</v>
      </c>
      <c r="F64" s="1" t="s">
        <v>623</v>
      </c>
      <c r="G64" s="24"/>
      <c r="H64" s="24" t="n">
        <v>1</v>
      </c>
      <c r="I64" s="24" t="s">
        <v>624</v>
      </c>
      <c r="J64" s="24"/>
      <c r="K64" s="24" t="s">
        <v>623</v>
      </c>
    </row>
    <row r="65" customFormat="false" ht="79.5" hidden="false" customHeight="true" outlineLevel="0" collapsed="false">
      <c r="A65" s="24" t="s">
        <v>625</v>
      </c>
      <c r="B65" s="25" t="s">
        <v>590</v>
      </c>
      <c r="C65" s="26" t="s">
        <v>626</v>
      </c>
      <c r="D65" s="24" t="s">
        <v>586</v>
      </c>
      <c r="E65" s="27" t="s">
        <v>587</v>
      </c>
      <c r="F65" s="1" t="s">
        <v>588</v>
      </c>
      <c r="G65" s="28" t="n">
        <v>19.16</v>
      </c>
      <c r="H65" s="24" t="n">
        <v>12</v>
      </c>
      <c r="I65" s="24" t="s">
        <v>627</v>
      </c>
      <c r="J65" s="24"/>
      <c r="K65" s="24" t="s">
        <v>588</v>
      </c>
    </row>
    <row r="66" customFormat="false" ht="79.5" hidden="false" customHeight="true" outlineLevel="0" collapsed="false">
      <c r="E66" s="38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15.82"/>
    <col collapsed="false" customWidth="true" hidden="false" outlineLevel="0" max="7" min="7" style="1" width="15.09"/>
  </cols>
  <sheetData>
    <row r="1" customFormat="false" ht="15" hidden="false" customHeight="true" outlineLevel="0" collapsed="false">
      <c r="A1" s="39" t="s">
        <v>628</v>
      </c>
      <c r="B1" s="40"/>
      <c r="C1" s="41"/>
      <c r="D1" s="41"/>
      <c r="E1" s="42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77.25" hidden="false" customHeight="true" outlineLevel="0" collapsed="false">
      <c r="A2" s="43" t="s">
        <v>629</v>
      </c>
      <c r="B2" s="44" t="s">
        <v>630</v>
      </c>
      <c r="C2" s="43" t="s">
        <v>631</v>
      </c>
      <c r="D2" s="43" t="s">
        <v>632</v>
      </c>
      <c r="E2" s="43" t="s">
        <v>633</v>
      </c>
      <c r="F2" s="43" t="s">
        <v>634</v>
      </c>
      <c r="G2" s="43" t="s">
        <v>635</v>
      </c>
      <c r="H2" s="43" t="s">
        <v>636</v>
      </c>
      <c r="I2" s="43" t="s">
        <v>637</v>
      </c>
      <c r="J2" s="45" t="s">
        <v>638</v>
      </c>
      <c r="K2" s="45" t="s">
        <v>639</v>
      </c>
      <c r="L2" s="46" t="s">
        <v>640</v>
      </c>
      <c r="M2" s="46" t="s">
        <v>641</v>
      </c>
      <c r="N2" s="47" t="s">
        <v>642</v>
      </c>
      <c r="O2" s="47" t="s">
        <v>643</v>
      </c>
    </row>
    <row r="3" customFormat="false" ht="15" hidden="false" customHeight="true" outlineLevel="0" collapsed="false">
      <c r="A3" s="48" t="n">
        <v>1</v>
      </c>
      <c r="B3" s="49" t="n">
        <v>1006</v>
      </c>
      <c r="C3" s="48" t="s">
        <v>644</v>
      </c>
      <c r="D3" s="50" t="s">
        <v>645</v>
      </c>
      <c r="E3" s="51" t="n">
        <v>1</v>
      </c>
      <c r="F3" s="52" t="n">
        <v>0.9</v>
      </c>
      <c r="G3" s="53" t="n">
        <v>1370000</v>
      </c>
      <c r="H3" s="48" t="n">
        <v>2.3</v>
      </c>
      <c r="I3" s="54" t="n">
        <v>3150000</v>
      </c>
      <c r="J3" s="54" t="n">
        <v>1500000</v>
      </c>
      <c r="K3" s="55" t="n">
        <v>1094.89</v>
      </c>
      <c r="L3" s="48"/>
      <c r="M3" s="55"/>
      <c r="N3" s="54" t="n">
        <v>500000</v>
      </c>
      <c r="O3" s="48" t="n">
        <v>364.96</v>
      </c>
    </row>
    <row r="4" customFormat="false" ht="15" hidden="false" customHeight="true" outlineLevel="0" collapsed="false">
      <c r="A4" s="48"/>
      <c r="B4" s="49"/>
      <c r="C4" s="48"/>
      <c r="D4" s="50"/>
      <c r="E4" s="51"/>
      <c r="F4" s="56"/>
      <c r="G4" s="56"/>
      <c r="H4" s="48"/>
      <c r="I4" s="48"/>
      <c r="J4" s="48"/>
      <c r="K4" s="55"/>
      <c r="L4" s="48"/>
      <c r="M4" s="55"/>
      <c r="N4" s="48"/>
      <c r="O4" s="48"/>
    </row>
    <row r="5" customFormat="false" ht="15" hidden="false" customHeight="true" outlineLevel="0" collapsed="false">
      <c r="A5" s="57"/>
      <c r="B5" s="58"/>
      <c r="C5" s="57"/>
      <c r="D5" s="59"/>
      <c r="E5" s="60"/>
      <c r="F5" s="61"/>
      <c r="G5" s="61"/>
      <c r="H5" s="57"/>
      <c r="I5" s="57"/>
      <c r="J5" s="57"/>
      <c r="K5" s="62"/>
      <c r="L5" s="63"/>
      <c r="M5" s="64"/>
      <c r="N5" s="57"/>
      <c r="O5" s="57"/>
    </row>
    <row r="6" customFormat="false" ht="15" hidden="false" customHeight="true" outlineLevel="0" collapsed="false">
      <c r="A6" s="48"/>
      <c r="B6" s="49"/>
      <c r="C6" s="48"/>
      <c r="D6" s="50"/>
      <c r="E6" s="51"/>
      <c r="F6" s="56"/>
      <c r="G6" s="56"/>
      <c r="H6" s="48"/>
      <c r="I6" s="48"/>
      <c r="J6" s="48"/>
      <c r="K6" s="55"/>
      <c r="L6" s="65"/>
      <c r="M6" s="66"/>
      <c r="N6" s="48"/>
      <c r="O6" s="48"/>
    </row>
    <row r="7" customFormat="false" ht="15" hidden="false" customHeight="true" outlineLevel="0" collapsed="false">
      <c r="A7" s="48"/>
      <c r="B7" s="49"/>
      <c r="C7" s="48"/>
      <c r="D7" s="50"/>
      <c r="E7" s="51"/>
      <c r="F7" s="56"/>
      <c r="G7" s="56"/>
      <c r="H7" s="48"/>
      <c r="I7" s="48"/>
      <c r="J7" s="48"/>
      <c r="K7" s="55"/>
      <c r="L7" s="48"/>
      <c r="M7" s="55"/>
      <c r="N7" s="48"/>
      <c r="O7" s="48"/>
    </row>
    <row r="8" customFormat="false" ht="15" hidden="false" customHeight="true" outlineLevel="0" collapsed="false">
      <c r="A8" s="48"/>
      <c r="B8" s="49"/>
      <c r="C8" s="48"/>
      <c r="D8" s="50"/>
      <c r="E8" s="51"/>
      <c r="F8" s="56"/>
      <c r="G8" s="56"/>
      <c r="H8" s="48"/>
      <c r="I8" s="48"/>
      <c r="J8" s="48"/>
      <c r="K8" s="55"/>
      <c r="L8" s="65"/>
      <c r="M8" s="66"/>
      <c r="N8" s="48"/>
      <c r="O8" s="48"/>
    </row>
    <row r="9" customFormat="false" ht="15" hidden="false" customHeight="true" outlineLevel="0" collapsed="false">
      <c r="A9" s="48"/>
      <c r="B9" s="49"/>
      <c r="C9" s="48"/>
      <c r="D9" s="50"/>
      <c r="E9" s="51"/>
      <c r="F9" s="56"/>
      <c r="G9" s="56"/>
      <c r="H9" s="48"/>
      <c r="I9" s="48"/>
      <c r="J9" s="48"/>
      <c r="K9" s="55"/>
      <c r="L9" s="48"/>
      <c r="M9" s="55"/>
      <c r="N9" s="48"/>
      <c r="O9" s="48"/>
    </row>
    <row r="10" customFormat="false" ht="15" hidden="false" customHeight="true" outlineLevel="0" collapsed="false">
      <c r="A10" s="48"/>
      <c r="B10" s="49"/>
      <c r="C10" s="48"/>
      <c r="D10" s="50"/>
      <c r="E10" s="51"/>
      <c r="F10" s="56"/>
      <c r="G10" s="56"/>
      <c r="H10" s="48"/>
      <c r="I10" s="48"/>
      <c r="J10" s="48"/>
      <c r="K10" s="55"/>
      <c r="L10" s="65"/>
      <c r="M10" s="66"/>
      <c r="N10" s="48"/>
      <c r="O10" s="48"/>
    </row>
    <row r="11" customFormat="false" ht="15" hidden="false" customHeight="true" outlineLevel="0" collapsed="false">
      <c r="A11" s="48"/>
      <c r="B11" s="49"/>
      <c r="C11" s="48"/>
      <c r="D11" s="50"/>
      <c r="E11" s="51"/>
      <c r="F11" s="56"/>
      <c r="G11" s="56"/>
      <c r="H11" s="48"/>
      <c r="I11" s="48"/>
      <c r="J11" s="48"/>
      <c r="K11" s="55"/>
      <c r="L11" s="65"/>
      <c r="M11" s="66"/>
      <c r="N11" s="48"/>
      <c r="O11" s="48"/>
    </row>
    <row r="12" customFormat="false" ht="15" hidden="false" customHeight="true" outlineLevel="0" collapsed="false">
      <c r="A12" s="48"/>
      <c r="B12" s="49"/>
      <c r="C12" s="48"/>
      <c r="D12" s="50"/>
      <c r="E12" s="51"/>
      <c r="F12" s="56"/>
      <c r="G12" s="56"/>
      <c r="H12" s="48"/>
      <c r="I12" s="48"/>
      <c r="J12" s="48"/>
      <c r="K12" s="55"/>
      <c r="L12" s="48"/>
      <c r="M12" s="55"/>
      <c r="N12" s="48"/>
      <c r="O12" s="48"/>
    </row>
    <row r="13" customFormat="false" ht="15" hidden="false" customHeight="true" outlineLevel="0" collapsed="false">
      <c r="A13" s="48"/>
      <c r="B13" s="49"/>
      <c r="C13" s="48"/>
      <c r="D13" s="50"/>
      <c r="E13" s="51"/>
      <c r="F13" s="56"/>
      <c r="G13" s="56"/>
      <c r="H13" s="48"/>
      <c r="I13" s="48"/>
      <c r="J13" s="48"/>
      <c r="K13" s="55"/>
      <c r="L13" s="48"/>
      <c r="M13" s="55"/>
      <c r="N13" s="48"/>
      <c r="O13" s="48"/>
    </row>
    <row r="14" customFormat="false" ht="15" hidden="false" customHeight="true" outlineLevel="0" collapsed="false">
      <c r="A14" s="48"/>
      <c r="B14" s="49"/>
      <c r="C14" s="48"/>
      <c r="D14" s="50"/>
      <c r="E14" s="51"/>
      <c r="F14" s="56"/>
      <c r="G14" s="56"/>
      <c r="H14" s="48"/>
      <c r="I14" s="48"/>
      <c r="J14" s="48"/>
      <c r="K14" s="55"/>
      <c r="L14" s="65"/>
      <c r="M14" s="66"/>
      <c r="N14" s="48"/>
      <c r="O14" s="48"/>
    </row>
    <row r="15" customFormat="false" ht="15" hidden="false" customHeight="true" outlineLevel="0" collapsed="false">
      <c r="A15" s="48"/>
      <c r="B15" s="49"/>
      <c r="C15" s="48"/>
      <c r="D15" s="50"/>
      <c r="E15" s="67"/>
      <c r="F15" s="68"/>
      <c r="G15" s="68"/>
      <c r="H15" s="48"/>
      <c r="I15" s="48"/>
      <c r="J15" s="48"/>
      <c r="K15" s="55"/>
      <c r="L15" s="69"/>
      <c r="M15" s="70"/>
      <c r="N15" s="48"/>
      <c r="O15" s="48"/>
    </row>
    <row r="16" customFormat="false" ht="15" hidden="false" customHeight="true" outlineLevel="0" collapsed="false">
      <c r="A16" s="48"/>
      <c r="B16" s="49"/>
      <c r="C16" s="71"/>
      <c r="D16" s="50"/>
      <c r="E16" s="72"/>
      <c r="F16" s="56"/>
      <c r="G16" s="56"/>
      <c r="H16" s="48"/>
      <c r="I16" s="48"/>
      <c r="J16" s="48"/>
      <c r="K16" s="55"/>
      <c r="L16" s="73"/>
      <c r="M16" s="73"/>
      <c r="N16" s="48"/>
      <c r="O16" s="48"/>
    </row>
    <row r="17" customFormat="false" ht="15" hidden="false" customHeight="true" outlineLevel="0" collapsed="false">
      <c r="A17" s="48"/>
      <c r="B17" s="49"/>
      <c r="C17" s="71"/>
      <c r="D17" s="50"/>
      <c r="E17" s="72"/>
      <c r="F17" s="56"/>
      <c r="G17" s="56"/>
      <c r="H17" s="48"/>
      <c r="I17" s="48"/>
      <c r="J17" s="48"/>
      <c r="K17" s="55"/>
      <c r="L17" s="73"/>
      <c r="M17" s="73"/>
      <c r="N17" s="48"/>
      <c r="O17" s="48"/>
    </row>
    <row r="18" customFormat="false" ht="15" hidden="false" customHeight="true" outlineLevel="0" collapsed="false">
      <c r="A18" s="48"/>
      <c r="B18" s="49"/>
      <c r="C18" s="71"/>
      <c r="D18" s="50"/>
      <c r="E18" s="72"/>
      <c r="F18" s="56"/>
      <c r="G18" s="56"/>
      <c r="H18" s="48"/>
      <c r="I18" s="48"/>
      <c r="J18" s="48"/>
      <c r="K18" s="55"/>
      <c r="L18" s="73"/>
      <c r="M18" s="73"/>
      <c r="N18" s="48"/>
      <c r="O18" s="48"/>
    </row>
    <row r="19" customFormat="false" ht="15" hidden="false" customHeight="true" outlineLevel="0" collapsed="false">
      <c r="A19" s="48"/>
      <c r="B19" s="49"/>
      <c r="C19" s="71"/>
      <c r="D19" s="50"/>
      <c r="E19" s="72"/>
      <c r="F19" s="56"/>
      <c r="G19" s="56"/>
      <c r="H19" s="48"/>
      <c r="I19" s="48"/>
      <c r="J19" s="48"/>
      <c r="K19" s="55"/>
      <c r="L19" s="73"/>
      <c r="M19" s="73"/>
      <c r="N19" s="48"/>
      <c r="O19" s="48"/>
    </row>
    <row r="20" customFormat="false" ht="15" hidden="false" customHeight="true" outlineLevel="0" collapsed="false">
      <c r="A20" s="48"/>
      <c r="B20" s="49"/>
      <c r="C20" s="71"/>
      <c r="D20" s="50"/>
      <c r="E20" s="72"/>
      <c r="F20" s="56"/>
      <c r="G20" s="56"/>
      <c r="H20" s="48"/>
      <c r="I20" s="48"/>
      <c r="J20" s="48"/>
      <c r="K20" s="55"/>
      <c r="L20" s="73"/>
      <c r="M20" s="73"/>
      <c r="N20" s="48"/>
      <c r="O20" s="48"/>
    </row>
    <row r="21" customFormat="false" ht="15" hidden="false" customHeight="true" outlineLevel="0" collapsed="false">
      <c r="A21" s="48"/>
      <c r="B21" s="49"/>
      <c r="C21" s="71"/>
      <c r="D21" s="50"/>
      <c r="E21" s="72"/>
      <c r="F21" s="56"/>
      <c r="G21" s="56"/>
      <c r="H21" s="48"/>
      <c r="I21" s="48"/>
      <c r="J21" s="48"/>
      <c r="K21" s="55"/>
      <c r="L21" s="73"/>
      <c r="M21" s="73"/>
      <c r="N21" s="48"/>
      <c r="O21" s="48"/>
    </row>
    <row r="22" customFormat="false" ht="15" hidden="false" customHeight="true" outlineLevel="0" collapsed="false">
      <c r="A22" s="48"/>
      <c r="B22" s="49"/>
      <c r="C22" s="71"/>
      <c r="D22" s="71"/>
      <c r="E22" s="51"/>
      <c r="F22" s="56"/>
      <c r="G22" s="56"/>
      <c r="H22" s="48"/>
      <c r="I22" s="48"/>
      <c r="J22" s="48"/>
      <c r="K22" s="55"/>
      <c r="L22" s="73"/>
      <c r="M22" s="73"/>
      <c r="N22" s="48"/>
      <c r="O22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30"/>
    <col collapsed="false" customWidth="true" hidden="false" outlineLevel="0" max="7" min="7" style="1" width="40"/>
  </cols>
  <sheetData>
    <row r="1" customFormat="false" ht="15.75" hidden="false" customHeight="true" outlineLevel="0" collapsed="false">
      <c r="A1" s="16" t="s">
        <v>82</v>
      </c>
    </row>
    <row r="2" customFormat="false" ht="15" hidden="false" customHeight="true" outlineLevel="0" collapsed="false">
      <c r="A2" s="10" t="s">
        <v>646</v>
      </c>
    </row>
    <row r="4" customFormat="false" ht="31.5" hidden="false" customHeight="true" outlineLevel="0" collapsed="false">
      <c r="A4" s="11" t="s">
        <v>647</v>
      </c>
      <c r="B4" s="11" t="s">
        <v>648</v>
      </c>
      <c r="C4" s="11" t="s">
        <v>117</v>
      </c>
      <c r="D4" s="11" t="s">
        <v>649</v>
      </c>
      <c r="E4" s="11" t="s">
        <v>650</v>
      </c>
      <c r="F4" s="11" t="s">
        <v>651</v>
      </c>
      <c r="G4" s="11" t="s">
        <v>126</v>
      </c>
    </row>
    <row r="5" customFormat="false" ht="15" hidden="false" customHeight="true" outlineLevel="0" collapsed="false">
      <c r="A5" s="12" t="s">
        <v>652</v>
      </c>
      <c r="B5" s="12" t="s">
        <v>653</v>
      </c>
      <c r="C5" s="12" t="s">
        <v>654</v>
      </c>
      <c r="D5" s="12"/>
      <c r="E5" s="12" t="s">
        <v>655</v>
      </c>
      <c r="F5" s="12" t="s">
        <v>656</v>
      </c>
      <c r="G5" s="12" t="s">
        <v>657</v>
      </c>
    </row>
    <row r="6" customFormat="false" ht="23.25" hidden="false" customHeight="true" outlineLevel="0" collapsed="false">
      <c r="A6" s="12" t="s">
        <v>658</v>
      </c>
      <c r="B6" s="12" t="s">
        <v>659</v>
      </c>
      <c r="C6" s="12" t="s">
        <v>654</v>
      </c>
      <c r="D6" s="12"/>
      <c r="E6" s="12" t="s">
        <v>660</v>
      </c>
      <c r="F6" s="12" t="s">
        <v>661</v>
      </c>
      <c r="G6" s="12" t="s">
        <v>662</v>
      </c>
    </row>
    <row r="7" customFormat="false" ht="23.25" hidden="false" customHeight="true" outlineLevel="0" collapsed="false">
      <c r="A7" s="12" t="s">
        <v>663</v>
      </c>
      <c r="B7" s="12" t="s">
        <v>664</v>
      </c>
      <c r="C7" s="12" t="s">
        <v>665</v>
      </c>
      <c r="D7" s="12"/>
      <c r="E7" s="12" t="s">
        <v>666</v>
      </c>
      <c r="F7" s="12" t="s">
        <v>667</v>
      </c>
      <c r="G7" s="12" t="s">
        <v>668</v>
      </c>
    </row>
    <row r="8" customFormat="false" ht="23.25" hidden="false" customHeight="true" outlineLevel="0" collapsed="false">
      <c r="A8" s="12" t="s">
        <v>669</v>
      </c>
      <c r="B8" s="12" t="s">
        <v>670</v>
      </c>
      <c r="C8" s="12" t="s">
        <v>671</v>
      </c>
      <c r="D8" s="12"/>
      <c r="E8" s="12" t="s">
        <v>672</v>
      </c>
      <c r="F8" s="12" t="s">
        <v>673</v>
      </c>
      <c r="G8" s="12" t="s">
        <v>674</v>
      </c>
    </row>
    <row r="9" customFormat="false" ht="23.25" hidden="false" customHeight="true" outlineLevel="0" collapsed="false">
      <c r="A9" s="12" t="s">
        <v>675</v>
      </c>
      <c r="B9" s="12" t="s">
        <v>676</v>
      </c>
      <c r="C9" s="12" t="s">
        <v>673</v>
      </c>
      <c r="D9" s="12"/>
      <c r="E9" s="12" t="s">
        <v>677</v>
      </c>
      <c r="F9" s="12" t="s">
        <v>673</v>
      </c>
      <c r="G9" s="12" t="s">
        <v>678</v>
      </c>
    </row>
    <row r="10" customFormat="false" ht="23.25" hidden="false" customHeight="true" outlineLevel="0" collapsed="false">
      <c r="A10" s="12" t="s">
        <v>679</v>
      </c>
      <c r="B10" s="12" t="s">
        <v>680</v>
      </c>
      <c r="C10" s="12" t="s">
        <v>673</v>
      </c>
      <c r="D10" s="12"/>
      <c r="E10" s="12" t="s">
        <v>673</v>
      </c>
      <c r="F10" s="12" t="s">
        <v>673</v>
      </c>
      <c r="G10" s="12" t="s">
        <v>681</v>
      </c>
    </row>
    <row r="11" customFormat="false" ht="23.25" hidden="false" customHeight="true" outlineLevel="0" collapsed="false">
      <c r="A11" s="12" t="s">
        <v>682</v>
      </c>
      <c r="B11" s="12" t="s">
        <v>683</v>
      </c>
      <c r="C11" s="12" t="s">
        <v>289</v>
      </c>
      <c r="D11" s="12"/>
      <c r="E11" s="12" t="s">
        <v>684</v>
      </c>
      <c r="F11" s="12" t="s">
        <v>685</v>
      </c>
      <c r="G11" s="1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2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4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16" t="s">
        <v>85</v>
      </c>
      <c r="B1" s="74"/>
    </row>
    <row r="2" customFormat="false" ht="15" hidden="false" customHeight="true" outlineLevel="0" collapsed="false">
      <c r="A2" s="10" t="s">
        <v>687</v>
      </c>
      <c r="B2" s="10"/>
    </row>
    <row r="4" customFormat="false" ht="31.5" hidden="false" customHeight="true" outlineLevel="0" collapsed="false">
      <c r="A4" s="11" t="s">
        <v>688</v>
      </c>
      <c r="B4" s="11" t="s">
        <v>689</v>
      </c>
      <c r="C4" s="11" t="s">
        <v>690</v>
      </c>
      <c r="D4" s="11" t="s">
        <v>691</v>
      </c>
      <c r="E4" s="11" t="s">
        <v>692</v>
      </c>
      <c r="F4" s="11" t="s">
        <v>693</v>
      </c>
      <c r="G4" s="11" t="s">
        <v>694</v>
      </c>
      <c r="H4" s="11" t="s">
        <v>126</v>
      </c>
    </row>
    <row r="5" customFormat="false" ht="23.25" hidden="false" customHeight="true" outlineLevel="0" collapsed="false">
      <c r="A5" s="12" t="s">
        <v>695</v>
      </c>
      <c r="B5" s="12" t="s">
        <v>696</v>
      </c>
      <c r="C5" s="12" t="s">
        <v>697</v>
      </c>
      <c r="D5" s="12" t="s">
        <v>698</v>
      </c>
      <c r="E5" s="12" t="s">
        <v>699</v>
      </c>
      <c r="F5" s="12"/>
      <c r="G5" s="12" t="s">
        <v>700</v>
      </c>
      <c r="H5" s="12" t="s">
        <v>701</v>
      </c>
    </row>
    <row r="6" customFormat="false" ht="23.25" hidden="false" customHeight="true" outlineLevel="0" collapsed="false">
      <c r="A6" s="12" t="s">
        <v>702</v>
      </c>
      <c r="B6" s="12" t="s">
        <v>703</v>
      </c>
      <c r="C6" s="12" t="s">
        <v>704</v>
      </c>
      <c r="D6" s="12" t="s">
        <v>705</v>
      </c>
      <c r="E6" s="12" t="s">
        <v>706</v>
      </c>
      <c r="F6" s="12"/>
      <c r="G6" s="12" t="s">
        <v>707</v>
      </c>
      <c r="H6" s="12" t="s">
        <v>708</v>
      </c>
    </row>
    <row r="7" customFormat="false" ht="23.25" hidden="false" customHeight="true" outlineLevel="0" collapsed="false">
      <c r="A7" s="12" t="s">
        <v>709</v>
      </c>
      <c r="B7" s="12" t="s">
        <v>710</v>
      </c>
      <c r="C7" s="12" t="s">
        <v>711</v>
      </c>
      <c r="D7" s="12" t="s">
        <v>712</v>
      </c>
      <c r="E7" s="12" t="s">
        <v>713</v>
      </c>
      <c r="F7" s="12"/>
      <c r="G7" s="12" t="s">
        <v>714</v>
      </c>
      <c r="H7" s="12" t="s">
        <v>715</v>
      </c>
    </row>
    <row r="8" customFormat="false" ht="23.25" hidden="false" customHeight="true" outlineLevel="0" collapsed="false">
      <c r="A8" s="12" t="s">
        <v>716</v>
      </c>
      <c r="B8" s="12" t="s">
        <v>334</v>
      </c>
      <c r="C8" s="12" t="s">
        <v>717</v>
      </c>
      <c r="D8" s="12" t="s">
        <v>718</v>
      </c>
      <c r="E8" s="12" t="s">
        <v>713</v>
      </c>
      <c r="F8" s="12"/>
      <c r="G8" s="12" t="s">
        <v>719</v>
      </c>
      <c r="H8" s="12" t="s">
        <v>720</v>
      </c>
    </row>
    <row r="9" customFormat="false" ht="23.25" hidden="false" customHeight="true" outlineLevel="0" collapsed="false">
      <c r="A9" s="12" t="s">
        <v>721</v>
      </c>
      <c r="B9" s="12" t="s">
        <v>722</v>
      </c>
      <c r="C9" s="12" t="s">
        <v>723</v>
      </c>
      <c r="D9" s="12" t="s">
        <v>724</v>
      </c>
      <c r="E9" s="12" t="s">
        <v>725</v>
      </c>
      <c r="F9" s="12"/>
      <c r="G9" s="12" t="s">
        <v>726</v>
      </c>
      <c r="H9" s="12" t="s">
        <v>727</v>
      </c>
    </row>
    <row r="10" customFormat="false" ht="23.25" hidden="false" customHeight="true" outlineLevel="0" collapsed="false">
      <c r="A10" s="12" t="s">
        <v>728</v>
      </c>
      <c r="B10" s="12" t="s">
        <v>729</v>
      </c>
      <c r="C10" s="12" t="s">
        <v>730</v>
      </c>
      <c r="D10" s="12" t="s">
        <v>731</v>
      </c>
      <c r="E10" s="12" t="s">
        <v>732</v>
      </c>
      <c r="F10" s="12"/>
      <c r="G10" s="12" t="s">
        <v>733</v>
      </c>
      <c r="H10" s="12" t="s">
        <v>734</v>
      </c>
    </row>
    <row r="11" customFormat="false" ht="23.25" hidden="false" customHeight="true" outlineLevel="0" collapsed="false">
      <c r="A11" s="12" t="s">
        <v>735</v>
      </c>
      <c r="B11" s="12" t="s">
        <v>736</v>
      </c>
      <c r="C11" s="12" t="s">
        <v>737</v>
      </c>
      <c r="D11" s="12"/>
      <c r="E11" s="12"/>
      <c r="F11" s="12"/>
      <c r="G11" s="12"/>
      <c r="H11" s="12"/>
    </row>
    <row r="12" customFormat="false" ht="23.25" hidden="false" customHeight="true" outlineLevel="0" collapsed="false">
      <c r="A12" s="12" t="s">
        <v>738</v>
      </c>
      <c r="B12" s="12" t="s">
        <v>739</v>
      </c>
      <c r="C12" s="12" t="s">
        <v>740</v>
      </c>
      <c r="D12" s="12" t="s">
        <v>741</v>
      </c>
      <c r="E12" s="12" t="s">
        <v>742</v>
      </c>
      <c r="F12" s="12"/>
      <c r="G12" s="12" t="s">
        <v>743</v>
      </c>
      <c r="H12" s="12" t="s">
        <v>744</v>
      </c>
    </row>
    <row r="13" customFormat="false" ht="23.25" hidden="false" customHeight="true" outlineLevel="0" collapsed="false">
      <c r="A13" s="12" t="s">
        <v>745</v>
      </c>
      <c r="B13" s="12" t="s">
        <v>746</v>
      </c>
      <c r="C13" s="12" t="s">
        <v>747</v>
      </c>
      <c r="D13" s="12"/>
      <c r="E13" s="12"/>
      <c r="F13" s="12"/>
      <c r="G13" s="12"/>
      <c r="H13" s="12"/>
    </row>
    <row r="14" customFormat="false" ht="23.25" hidden="false" customHeight="true" outlineLevel="0" collapsed="false">
      <c r="A14" s="12" t="s">
        <v>748</v>
      </c>
      <c r="B14" s="12" t="s">
        <v>749</v>
      </c>
      <c r="C14" s="12" t="s">
        <v>750</v>
      </c>
      <c r="D14" s="12"/>
      <c r="E14" s="12"/>
      <c r="F14" s="12"/>
      <c r="G14" s="12"/>
      <c r="H14" s="12"/>
    </row>
    <row r="15" customFormat="false" ht="23.25" hidden="false" customHeight="true" outlineLevel="0" collapsed="false">
      <c r="A15" s="12" t="s">
        <v>751</v>
      </c>
      <c r="B15" s="12" t="s">
        <v>752</v>
      </c>
      <c r="C15" s="12" t="s">
        <v>753</v>
      </c>
      <c r="D15" s="12"/>
      <c r="E15" s="12"/>
      <c r="F15" s="12"/>
      <c r="G15" s="12"/>
      <c r="H15" s="12"/>
    </row>
    <row r="16" customFormat="false" ht="23.25" hidden="false" customHeight="true" outlineLevel="0" collapsed="false">
      <c r="A16" s="12" t="s">
        <v>754</v>
      </c>
      <c r="B16" s="12" t="s">
        <v>263</v>
      </c>
      <c r="C16" s="12" t="s">
        <v>755</v>
      </c>
      <c r="D16" s="12"/>
      <c r="E16" s="12"/>
      <c r="F16" s="12"/>
      <c r="G16" s="12"/>
      <c r="H16" s="12"/>
    </row>
    <row r="17" customFormat="false" ht="23.25" hidden="false" customHeight="true" outlineLevel="0" collapsed="false">
      <c r="A17" s="12" t="s">
        <v>756</v>
      </c>
      <c r="B17" s="12" t="s">
        <v>757</v>
      </c>
      <c r="C17" s="12" t="s">
        <v>758</v>
      </c>
      <c r="D17" s="12" t="s">
        <v>759</v>
      </c>
      <c r="E17" s="12" t="s">
        <v>760</v>
      </c>
      <c r="F17" s="12"/>
      <c r="G17" s="12" t="s">
        <v>761</v>
      </c>
      <c r="H17" s="12" t="s">
        <v>762</v>
      </c>
    </row>
    <row r="18" customFormat="false" ht="15" hidden="false" customHeight="true" outlineLevel="0" collapsed="false">
      <c r="A18" s="12" t="s">
        <v>763</v>
      </c>
      <c r="B18" s="12" t="s">
        <v>764</v>
      </c>
      <c r="C18" s="12" t="s">
        <v>765</v>
      </c>
      <c r="D18" s="12" t="s">
        <v>766</v>
      </c>
      <c r="E18" s="12" t="s">
        <v>732</v>
      </c>
      <c r="F18" s="12"/>
      <c r="G18" s="12" t="s">
        <v>767</v>
      </c>
      <c r="H18" s="12" t="s">
        <v>768</v>
      </c>
    </row>
    <row r="19" customFormat="false" ht="23.25" hidden="false" customHeight="true" outlineLevel="0" collapsed="false">
      <c r="A19" s="12" t="s">
        <v>769</v>
      </c>
      <c r="B19" s="12" t="s">
        <v>770</v>
      </c>
      <c r="C19" s="12" t="s">
        <v>771</v>
      </c>
      <c r="D19" s="12" t="s">
        <v>772</v>
      </c>
      <c r="E19" s="12" t="s">
        <v>760</v>
      </c>
      <c r="F19" s="12"/>
      <c r="G19" s="12" t="s">
        <v>773</v>
      </c>
      <c r="H19" s="12" t="s">
        <v>774</v>
      </c>
    </row>
    <row r="20" customFormat="false" ht="23.25" hidden="false" customHeight="true" outlineLevel="0" collapsed="false">
      <c r="A20" s="12" t="s">
        <v>775</v>
      </c>
      <c r="B20" s="12"/>
      <c r="C20" s="12" t="s">
        <v>776</v>
      </c>
      <c r="D20" s="12" t="s">
        <v>777</v>
      </c>
      <c r="E20" s="12" t="s">
        <v>732</v>
      </c>
      <c r="F20" s="12"/>
      <c r="G20" s="12" t="s">
        <v>778</v>
      </c>
      <c r="H20" s="1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6" t="s">
        <v>79</v>
      </c>
    </row>
    <row r="2" customFormat="false" ht="15" hidden="false" customHeight="true" outlineLevel="0" collapsed="false">
      <c r="A2" s="10" t="s">
        <v>780</v>
      </c>
    </row>
    <row r="4" customFormat="false" ht="31.5" hidden="false" customHeight="true" outlineLevel="0" collapsed="false">
      <c r="A4" s="11" t="s">
        <v>781</v>
      </c>
      <c r="B4" s="11" t="s">
        <v>782</v>
      </c>
      <c r="C4" s="11" t="s">
        <v>783</v>
      </c>
      <c r="D4" s="11" t="s">
        <v>123</v>
      </c>
      <c r="E4" s="11" t="s">
        <v>784</v>
      </c>
      <c r="F4" s="11" t="s">
        <v>785</v>
      </c>
      <c r="G4" s="11" t="s">
        <v>786</v>
      </c>
      <c r="H4" s="11" t="s">
        <v>126</v>
      </c>
    </row>
    <row r="5" customFormat="false" ht="15" hidden="false" customHeight="true" outlineLevel="0" collapsed="false">
      <c r="A5" s="12" t="s">
        <v>529</v>
      </c>
      <c r="B5" s="12" t="s">
        <v>787</v>
      </c>
      <c r="C5" s="12" t="s">
        <v>788</v>
      </c>
      <c r="D5" s="12" t="n">
        <v>1800</v>
      </c>
      <c r="E5" s="12" t="n">
        <v>1</v>
      </c>
      <c r="F5" s="12" t="s">
        <v>789</v>
      </c>
      <c r="G5" s="12" t="n">
        <v>88</v>
      </c>
      <c r="H5" s="12" t="s">
        <v>790</v>
      </c>
    </row>
    <row r="6" customFormat="false" ht="15" hidden="false" customHeight="true" outlineLevel="0" collapsed="false">
      <c r="A6" s="12" t="s">
        <v>536</v>
      </c>
      <c r="B6" s="12" t="s">
        <v>787</v>
      </c>
      <c r="C6" s="12" t="s">
        <v>791</v>
      </c>
      <c r="D6" s="12" t="n">
        <v>2160</v>
      </c>
      <c r="E6" s="12" t="n">
        <v>1.46</v>
      </c>
      <c r="F6" s="12"/>
      <c r="G6" s="12" t="n">
        <v>138</v>
      </c>
      <c r="H6" s="12"/>
    </row>
    <row r="7" customFormat="false" ht="15" hidden="false" customHeight="true" outlineLevel="0" collapsed="false">
      <c r="A7" s="12" t="s">
        <v>540</v>
      </c>
      <c r="B7" s="12" t="s">
        <v>787</v>
      </c>
      <c r="C7" s="12" t="s">
        <v>792</v>
      </c>
      <c r="D7" s="12" t="n">
        <v>1515.8</v>
      </c>
      <c r="E7" s="12" t="n">
        <v>1.61</v>
      </c>
      <c r="F7" s="12" t="s">
        <v>793</v>
      </c>
      <c r="G7" s="12" t="n">
        <v>138</v>
      </c>
      <c r="H7" s="12"/>
    </row>
    <row r="8" customFormat="false" ht="15" hidden="false" customHeight="true" outlineLevel="0" collapsed="false">
      <c r="A8" s="12" t="s">
        <v>544</v>
      </c>
      <c r="B8" s="12" t="s">
        <v>787</v>
      </c>
      <c r="C8" s="12" t="s">
        <v>794</v>
      </c>
      <c r="D8" s="12" t="n">
        <v>982.8</v>
      </c>
      <c r="E8" s="12" t="n">
        <v>3.15</v>
      </c>
      <c r="F8" s="12" t="s">
        <v>795</v>
      </c>
      <c r="G8" s="12" t="n">
        <v>138</v>
      </c>
      <c r="H8" s="12"/>
    </row>
    <row r="9" customFormat="false" ht="23.25" hidden="false" customHeight="true" outlineLevel="0" collapsed="false">
      <c r="A9" s="12" t="s">
        <v>551</v>
      </c>
      <c r="B9" s="12" t="s">
        <v>796</v>
      </c>
      <c r="C9" s="12" t="s">
        <v>797</v>
      </c>
      <c r="D9" s="12"/>
      <c r="E9" s="12" t="n">
        <v>1.049</v>
      </c>
      <c r="F9" s="12"/>
      <c r="G9" s="12" t="n">
        <v>338</v>
      </c>
      <c r="H9" s="12" t="s">
        <v>798</v>
      </c>
    </row>
    <row r="10" customFormat="false" ht="15" hidden="false" customHeight="true" outlineLevel="0" collapsed="false">
      <c r="A10" s="12" t="s">
        <v>553</v>
      </c>
      <c r="B10" s="12" t="s">
        <v>796</v>
      </c>
      <c r="C10" s="12" t="s">
        <v>799</v>
      </c>
      <c r="D10" s="12" t="n">
        <v>2617</v>
      </c>
      <c r="E10" s="12" t="n">
        <v>3.27</v>
      </c>
      <c r="F10" s="12" t="s">
        <v>800</v>
      </c>
      <c r="G10" s="12"/>
      <c r="H10" s="12" t="s">
        <v>801</v>
      </c>
    </row>
    <row r="11" customFormat="false" ht="15" hidden="false" customHeight="true" outlineLevel="0" collapsed="false">
      <c r="A11" s="12" t="s">
        <v>555</v>
      </c>
      <c r="B11" s="12" t="s">
        <v>802</v>
      </c>
      <c r="C11" s="12" t="s">
        <v>803</v>
      </c>
      <c r="D11" s="12" t="n">
        <v>1905</v>
      </c>
      <c r="E11" s="12" t="n">
        <v>76.2</v>
      </c>
      <c r="F11" s="12" t="s">
        <v>804</v>
      </c>
      <c r="G11" s="12" t="n">
        <v>529</v>
      </c>
      <c r="H11" s="12" t="s">
        <v>801</v>
      </c>
    </row>
    <row r="12" customFormat="false" ht="15" hidden="false" customHeight="true" outlineLevel="0" collapsed="false">
      <c r="A12" s="12" t="s">
        <v>557</v>
      </c>
      <c r="B12" s="12" t="s">
        <v>805</v>
      </c>
      <c r="C12" s="12" t="s">
        <v>806</v>
      </c>
      <c r="D12" s="12" t="n">
        <v>2856</v>
      </c>
      <c r="E12" s="12" t="n">
        <v>2.86</v>
      </c>
      <c r="F12" s="12" t="s">
        <v>807</v>
      </c>
      <c r="G12" s="12"/>
      <c r="H12" s="12" t="s">
        <v>808</v>
      </c>
    </row>
    <row r="13" customFormat="false" ht="15" hidden="false" customHeight="true" outlineLevel="0" collapsed="false">
      <c r="A13" s="12" t="s">
        <v>563</v>
      </c>
      <c r="B13" s="12" t="s">
        <v>809</v>
      </c>
      <c r="C13" s="12" t="s">
        <v>810</v>
      </c>
      <c r="D13" s="12" t="n">
        <v>800</v>
      </c>
      <c r="E13" s="12"/>
      <c r="F13" s="12" t="s">
        <v>811</v>
      </c>
      <c r="G13" s="12"/>
      <c r="H13" s="12" t="s">
        <v>812</v>
      </c>
    </row>
    <row r="14" customFormat="false" ht="23.25" hidden="false" customHeight="true" outlineLevel="0" collapsed="false">
      <c r="A14" s="12" t="s">
        <v>568</v>
      </c>
      <c r="B14" s="12" t="s">
        <v>813</v>
      </c>
      <c r="C14" s="12" t="s">
        <v>814</v>
      </c>
      <c r="D14" s="12" t="n">
        <v>3499</v>
      </c>
      <c r="E14" s="12" t="n">
        <v>0.35</v>
      </c>
      <c r="F14" s="12" t="s">
        <v>815</v>
      </c>
      <c r="G14" s="12"/>
      <c r="H14" s="1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16" t="s">
        <v>91</v>
      </c>
    </row>
    <row r="2" customFormat="false" ht="15" hidden="false" customHeight="true" outlineLevel="0" collapsed="false">
      <c r="A2" s="10" t="s">
        <v>817</v>
      </c>
    </row>
    <row r="4" customFormat="false" ht="31.5" hidden="false" customHeight="true" outlineLevel="0" collapsed="false">
      <c r="A4" s="11" t="s">
        <v>818</v>
      </c>
      <c r="B4" s="11" t="s">
        <v>819</v>
      </c>
      <c r="C4" s="11" t="s">
        <v>820</v>
      </c>
      <c r="D4" s="11" t="s">
        <v>821</v>
      </c>
      <c r="E4" s="11" t="s">
        <v>822</v>
      </c>
      <c r="F4" s="11" t="s">
        <v>823</v>
      </c>
      <c r="G4" s="11" t="s">
        <v>126</v>
      </c>
    </row>
    <row r="5" customFormat="false" ht="15" hidden="false" customHeight="true" outlineLevel="0" collapsed="false">
      <c r="A5" s="12" t="s">
        <v>824</v>
      </c>
      <c r="B5" s="12" t="s">
        <v>825</v>
      </c>
      <c r="C5" s="12" t="s">
        <v>826</v>
      </c>
      <c r="D5" s="12" t="s">
        <v>827</v>
      </c>
      <c r="E5" s="12" t="s">
        <v>828</v>
      </c>
      <c r="F5" s="12" t="s">
        <v>829</v>
      </c>
      <c r="G5" s="12" t="s">
        <v>830</v>
      </c>
    </row>
    <row r="6" customFormat="false" ht="15" hidden="false" customHeight="true" outlineLevel="0" collapsed="false">
      <c r="A6" s="12" t="s">
        <v>831</v>
      </c>
      <c r="B6" s="12" t="s">
        <v>832</v>
      </c>
      <c r="C6" s="12" t="s">
        <v>833</v>
      </c>
      <c r="D6" s="12" t="s">
        <v>834</v>
      </c>
      <c r="E6" s="12" t="s">
        <v>835</v>
      </c>
      <c r="F6" s="12" t="s">
        <v>829</v>
      </c>
      <c r="G6" s="12" t="s">
        <v>830</v>
      </c>
    </row>
    <row r="7" customFormat="false" ht="15" hidden="false" customHeight="true" outlineLevel="0" collapsed="false">
      <c r="A7" s="12" t="s">
        <v>836</v>
      </c>
      <c r="B7" s="12" t="s">
        <v>837</v>
      </c>
      <c r="C7" s="12" t="s">
        <v>838</v>
      </c>
      <c r="D7" s="12" t="s">
        <v>839</v>
      </c>
      <c r="E7" s="12" t="s">
        <v>840</v>
      </c>
      <c r="F7" s="12" t="s">
        <v>829</v>
      </c>
      <c r="G7" s="12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80"/>
  </cols>
  <sheetData>
    <row r="1" customFormat="false" ht="15.75" hidden="false" customHeight="true" outlineLevel="0" collapsed="false">
      <c r="A1" s="16" t="s">
        <v>841</v>
      </c>
    </row>
    <row r="2" customFormat="false" ht="15" hidden="false" customHeight="true" outlineLevel="0" collapsed="false">
      <c r="A2" s="10" t="s">
        <v>842</v>
      </c>
    </row>
    <row r="4" customFormat="false" ht="15" hidden="false" customHeight="true" outlineLevel="0" collapsed="false">
      <c r="A4" s="75" t="s">
        <v>843</v>
      </c>
      <c r="B4" s="75" t="s">
        <v>844</v>
      </c>
      <c r="C4" s="75" t="s">
        <v>845</v>
      </c>
      <c r="D4" s="75" t="s">
        <v>846</v>
      </c>
      <c r="E4" s="75" t="s">
        <v>126</v>
      </c>
    </row>
    <row r="5" customFormat="false" ht="15" hidden="false" customHeight="true" outlineLevel="0" collapsed="false">
      <c r="A5" s="1" t="s">
        <v>847</v>
      </c>
      <c r="B5" s="1" t="s">
        <v>848</v>
      </c>
      <c r="C5" s="1" t="n">
        <v>5000000</v>
      </c>
      <c r="D5" s="1" t="s">
        <v>849</v>
      </c>
      <c r="E5" s="1" t="s">
        <v>850</v>
      </c>
    </row>
    <row r="6" customFormat="false" ht="15" hidden="false" customHeight="true" outlineLevel="0" collapsed="false">
      <c r="A6" s="1" t="s">
        <v>851</v>
      </c>
      <c r="B6" s="1" t="s">
        <v>852</v>
      </c>
      <c r="C6" s="1" t="n">
        <v>1500000</v>
      </c>
      <c r="D6" s="1" t="s">
        <v>849</v>
      </c>
      <c r="E6" s="1" t="s">
        <v>853</v>
      </c>
    </row>
    <row r="7" customFormat="false" ht="15" hidden="false" customHeight="true" outlineLevel="0" collapsed="false">
      <c r="A7" s="1" t="s">
        <v>854</v>
      </c>
      <c r="B7" s="1" t="s">
        <v>855</v>
      </c>
      <c r="C7" s="1" t="n">
        <v>500000</v>
      </c>
      <c r="D7" s="1" t="s">
        <v>849</v>
      </c>
      <c r="E7" s="1" t="s">
        <v>856</v>
      </c>
    </row>
    <row r="8" customFormat="false" ht="15" hidden="false" customHeight="true" outlineLevel="0" collapsed="false">
      <c r="A8" s="1" t="s">
        <v>857</v>
      </c>
      <c r="B8" s="1" t="s">
        <v>858</v>
      </c>
      <c r="C8" s="1" t="n">
        <v>100000</v>
      </c>
      <c r="D8" s="1" t="s">
        <v>849</v>
      </c>
      <c r="E8" s="1" t="s">
        <v>859</v>
      </c>
    </row>
    <row r="9" customFormat="false" ht="15" hidden="false" customHeight="true" outlineLevel="0" collapsed="false">
      <c r="A9" s="1" t="s">
        <v>860</v>
      </c>
      <c r="B9" s="1" t="s">
        <v>861</v>
      </c>
      <c r="C9" s="1" t="n">
        <v>200000</v>
      </c>
      <c r="D9" s="1" t="s">
        <v>849</v>
      </c>
      <c r="E9" s="1" t="s">
        <v>862</v>
      </c>
    </row>
    <row r="10" customFormat="false" ht="15" hidden="false" customHeight="true" outlineLevel="0" collapsed="false">
      <c r="A10" s="1" t="s">
        <v>863</v>
      </c>
      <c r="B10" s="1" t="s">
        <v>864</v>
      </c>
      <c r="C10" s="1" t="n">
        <v>1200000</v>
      </c>
      <c r="D10" s="1" t="s">
        <v>865</v>
      </c>
      <c r="E10" s="1" t="s">
        <v>866</v>
      </c>
    </row>
    <row r="11" customFormat="false" ht="15" hidden="false" customHeight="true" outlineLevel="0" collapsed="false">
      <c r="A11" s="1" t="s">
        <v>867</v>
      </c>
      <c r="B11" s="1" t="s">
        <v>868</v>
      </c>
      <c r="C11" s="1" t="n">
        <v>1500000</v>
      </c>
      <c r="D11" s="1" t="s">
        <v>869</v>
      </c>
      <c r="E11" s="1" t="s">
        <v>870</v>
      </c>
    </row>
    <row r="12" customFormat="false" ht="15" hidden="false" customHeight="true" outlineLevel="0" collapsed="false">
      <c r="A12" s="1" t="s">
        <v>871</v>
      </c>
      <c r="B12" s="1" t="s">
        <v>872</v>
      </c>
      <c r="C12" s="1" t="n">
        <v>1200000</v>
      </c>
      <c r="D12" s="1" t="s">
        <v>869</v>
      </c>
      <c r="E12" s="1" t="s">
        <v>873</v>
      </c>
    </row>
    <row r="13" customFormat="false" ht="15" hidden="false" customHeight="true" outlineLevel="0" collapsed="false">
      <c r="A13" s="1" t="s">
        <v>874</v>
      </c>
      <c r="B13" s="1" t="s">
        <v>875</v>
      </c>
      <c r="C13" s="1" t="n">
        <v>0.25</v>
      </c>
      <c r="D13" s="1" t="s">
        <v>876</v>
      </c>
      <c r="E13" s="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21.75" hidden="false" customHeight="true" outlineLevel="0" collapsed="false">
      <c r="A2" s="77" t="s">
        <v>895</v>
      </c>
      <c r="B2" s="77" t="s">
        <v>896</v>
      </c>
      <c r="C2" s="78" t="s">
        <v>897</v>
      </c>
      <c r="D2" s="77"/>
      <c r="E2" s="77" t="s">
        <v>898</v>
      </c>
      <c r="F2" s="79"/>
      <c r="G2" s="77" t="s">
        <v>337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899</v>
      </c>
    </row>
    <row r="3" customFormat="false" ht="21.75" hidden="false" customHeight="true" outlineLevel="0" collapsed="false">
      <c r="A3" s="77" t="s">
        <v>895</v>
      </c>
      <c r="B3" s="77" t="s">
        <v>896</v>
      </c>
      <c r="C3" s="78" t="s">
        <v>900</v>
      </c>
      <c r="D3" s="77"/>
      <c r="E3" s="77" t="s">
        <v>898</v>
      </c>
      <c r="F3" s="79"/>
      <c r="G3" s="77" t="s">
        <v>337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899</v>
      </c>
    </row>
    <row r="4" customFormat="false" ht="15" hidden="false" customHeight="true" outlineLevel="0" collapsed="false">
      <c r="A4" s="85" t="s">
        <v>895</v>
      </c>
      <c r="B4" s="85" t="s">
        <v>901</v>
      </c>
      <c r="C4" s="85" t="s">
        <v>902</v>
      </c>
      <c r="D4" s="85" t="s">
        <v>553</v>
      </c>
      <c r="E4" s="85" t="s">
        <v>9</v>
      </c>
      <c r="F4" s="86" t="n">
        <v>1</v>
      </c>
      <c r="G4" s="85" t="s">
        <v>548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903</v>
      </c>
      <c r="P4" s="1" t="n">
        <f aca="false">IFERROR(IF(LEFT(D4,1)="K",VLOOKUP(D4,Kit_Catalog!$A:$K,8,FALSE()),VLOOKUP(D4,Additional_Supply_Catalog!$A:$K,7,FALSE())),"")</f>
        <v>11.11</v>
      </c>
      <c r="Q4" s="1" t="n">
        <f aca="false">IFERROR(IF(LEFT(D4,1)="K",VLOOKUP(D4,Kit_Catalog!$A:$K,7,FALSE()),VLOOKUP(D4,Additional_Supply_Catalog!$A:$K,8,FALSE())),"")</f>
        <v>50</v>
      </c>
      <c r="R4" s="1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895</v>
      </c>
      <c r="B5" s="85" t="s">
        <v>901</v>
      </c>
      <c r="C5" s="85" t="s">
        <v>904</v>
      </c>
      <c r="D5" s="85" t="s">
        <v>563</v>
      </c>
      <c r="E5" s="85" t="s">
        <v>9</v>
      </c>
      <c r="F5" s="86" t="n">
        <v>1</v>
      </c>
      <c r="G5" s="85" t="s">
        <v>905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59.4</v>
      </c>
      <c r="K5" s="90" t="n">
        <f aca="false">IF(ISNUMBER(MATCH(G5,{"tube","each","plate","vial","kit","bottle","aliquot","strainer","cap","lane-rxn","tip","strip","lane","channel","library","sample"},0)),ROUNDUP(J5,0),ROUND(J5,2))</f>
        <v>60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25.535</v>
      </c>
      <c r="N5" s="93" t="n">
        <f aca="false">IFERROR(J5*L5,"")</f>
        <v>1516.779</v>
      </c>
      <c r="O5" s="94" t="s">
        <v>903</v>
      </c>
      <c r="P5" s="1" t="n">
        <f aca="false">IFERROR(IF(LEFT(D5,1)="K",VLOOKUP(D5,Kit_Catalog!$A:$K,8,FALSE()),VLOOKUP(D5,Additional_Supply_Catalog!$A:$K,7,FALSE())),"")</f>
        <v>5107</v>
      </c>
      <c r="Q5" s="1" t="n">
        <f aca="false">IFERROR(IF(LEFT(D5,1)="K",VLOOKUP(D5,Kit_Catalog!$A:$K,7,FALSE()),VLOOKUP(D5,Additional_Supply_Catalog!$A:$K,8,FALSE())),"")</f>
        <v>200</v>
      </c>
      <c r="R5" s="1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895</v>
      </c>
      <c r="B6" s="85" t="s">
        <v>901</v>
      </c>
      <c r="C6" s="85" t="s">
        <v>906</v>
      </c>
      <c r="D6" s="85" t="s">
        <v>568</v>
      </c>
      <c r="E6" s="85" t="s">
        <v>9</v>
      </c>
      <c r="F6" s="86" t="n">
        <v>1</v>
      </c>
      <c r="G6" s="85" t="s">
        <v>373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903</v>
      </c>
      <c r="P6" s="1" t="n">
        <f aca="false">IFERROR(IF(LEFT(D6,1)="K",VLOOKUP(D6,Kit_Catalog!$A:$K,8,FALSE()),VLOOKUP(D6,Additional_Supply_Catalog!$A:$K,7,FALSE())),"")</f>
        <v>195</v>
      </c>
      <c r="Q6" s="1" t="n">
        <f aca="false">IFERROR(IF(LEFT(D6,1)="K",VLOOKUP(D6,Kit_Catalog!$A:$K,7,FALSE()),VLOOKUP(D6,Additional_Supply_Catalog!$A:$K,8,FALSE())),"")</f>
        <v>50</v>
      </c>
      <c r="R6" s="1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895</v>
      </c>
      <c r="B7" s="85" t="s">
        <v>901</v>
      </c>
      <c r="C7" s="85" t="s">
        <v>907</v>
      </c>
      <c r="D7" s="85" t="s">
        <v>473</v>
      </c>
      <c r="E7" s="85" t="s">
        <v>9</v>
      </c>
      <c r="F7" s="86" t="n">
        <v>13.2</v>
      </c>
      <c r="G7" s="85" t="s">
        <v>337</v>
      </c>
      <c r="H7" s="87" t="n">
        <f aca="false">Inputs!$B$20</f>
        <v>0.1</v>
      </c>
      <c r="I7" s="88" t="n">
        <f aca="false">VLOOKUP(E7,Inputs!$D$5:$E$23,2,FALSE())</f>
        <v>54</v>
      </c>
      <c r="J7" s="89" t="n">
        <f aca="false">J2+J3</f>
        <v>877.8</v>
      </c>
      <c r="K7" s="90" t="n">
        <f aca="false">IF(ISNUMBER(MATCH(G7,{"tube","each","plate","vial","kit","bottle","aliquot","strainer","cap","lane-rxn","tip","strip","lane","channel","library","sample"},0)),ROUNDUP(J7,0),ROUND(J7,2))</f>
        <v>877.8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0.178992</v>
      </c>
      <c r="N7" s="93" t="n">
        <f aca="false">IFERROR(J7*L7,"")</f>
        <v>11.902968</v>
      </c>
      <c r="O7" s="94" t="s">
        <v>908</v>
      </c>
      <c r="P7" s="1" t="n">
        <f aca="false">IFERROR(IF(LEFT(D7,1)="K",VLOOKUP(D7,Kit_Catalog!$A:$K,8,FALSE()),VLOOKUP(D7,Additional_Supply_Catalog!$A:$K,7,FALSE())),"")</f>
        <v>6.78</v>
      </c>
      <c r="Q7" s="1" t="n">
        <f aca="false">IFERROR(IF(LEFT(D7,1)="K",VLOOKUP(D7,Kit_Catalog!$A:$K,7,FALSE()),VLOOKUP(D7,Additional_Supply_Catalog!$A:$K,8,FALSE())),"")</f>
        <v>500</v>
      </c>
      <c r="R7" s="1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895</v>
      </c>
      <c r="B8" s="85" t="s">
        <v>901</v>
      </c>
      <c r="C8" s="85" t="s">
        <v>481</v>
      </c>
      <c r="D8" s="85" t="s">
        <v>480</v>
      </c>
      <c r="E8" s="85" t="s">
        <v>9</v>
      </c>
      <c r="F8" s="86" t="n">
        <v>0.3</v>
      </c>
      <c r="G8" s="85" t="s">
        <v>337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17.82</v>
      </c>
      <c r="K8" s="90" t="n">
        <f aca="false">IF(ISNUMBER(MATCH(G8,{"tube","each","plate","vial","kit","bottle","aliquot","strainer","cap","lane-rxn","tip","strip","lane","channel","library","sample"},0)),ROUNDUP(J8,0),ROUND(J8,2))</f>
        <v>17.82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0.096</v>
      </c>
      <c r="N8" s="93" t="n">
        <f aca="false">IFERROR(J8*L8,"")</f>
        <v>5.7024</v>
      </c>
      <c r="O8" s="94"/>
      <c r="P8" s="1" t="n">
        <f aca="false">IFERROR(IF(LEFT(D8,1)="K",VLOOKUP(D8,Kit_Catalog!$A:$K,8,FALSE()),VLOOKUP(D8,Additional_Supply_Catalog!$A:$K,7,FALSE())),"")</f>
        <v>32</v>
      </c>
      <c r="Q8" s="1" t="n">
        <f aca="false">IFERROR(IF(LEFT(D8,1)="K",VLOOKUP(D8,Kit_Catalog!$A:$K,7,FALSE()),VLOOKUP(D8,Additional_Supply_Catalog!$A:$K,8,FALSE())),"")</f>
        <v>100</v>
      </c>
      <c r="R8" s="1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895</v>
      </c>
      <c r="B9" s="85" t="s">
        <v>901</v>
      </c>
      <c r="C9" s="85" t="s">
        <v>909</v>
      </c>
      <c r="D9" s="85" t="s">
        <v>483</v>
      </c>
      <c r="E9" s="85" t="s">
        <v>9</v>
      </c>
      <c r="F9" s="95" t="n">
        <v>1.05</v>
      </c>
      <c r="G9" s="85" t="s">
        <v>488</v>
      </c>
      <c r="H9" s="87" t="n">
        <f aca="false">Inputs!$B$20</f>
        <v>0.1</v>
      </c>
      <c r="I9" s="88" t="n">
        <f aca="false">VLOOKUP(E9,Inputs!$D$5:$E$23,2,FALSE())</f>
        <v>54</v>
      </c>
      <c r="J9" s="89" t="n">
        <f aca="false">J2*0.1+J3*0.025</f>
        <v>75.405</v>
      </c>
      <c r="K9" s="90" t="n">
        <f aca="false">IF(ISNUMBER(MATCH(G9,{"tube","each","plate","vial","kit","bottle","aliquot","strainer","cap","lane-rxn","tip","strip","lane","channel","library","sample"},0)),ROUNDUP(J9,0),ROUND(J9,2))</f>
        <v>75.41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IFERROR(L9,"")</f>
        <v>3.88</v>
      </c>
      <c r="N9" s="93" t="n">
        <f aca="false">IFERROR(J9*L9,"")</f>
        <v>292.5714</v>
      </c>
      <c r="O9" s="94" t="s">
        <v>910</v>
      </c>
      <c r="P9" s="1" t="n">
        <f aca="false">IFERROR(IF(LEFT(D9,1)="K",VLOOKUP(D9,Kit_Catalog!$A:$K,8,FALSE()),VLOOKUP(D9,Additional_Supply_Catalog!$A:$K,7,FALSE())),"")</f>
        <v>388</v>
      </c>
      <c r="Q9" s="1" t="n">
        <f aca="false">IFERROR(IF(LEFT(D9,1)="K",VLOOKUP(D9,Kit_Catalog!$A:$K,7,FALSE()),VLOOKUP(D9,Additional_Supply_Catalog!$A:$K,8,FALSE())),"")</f>
        <v>100</v>
      </c>
      <c r="R9" s="1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895</v>
      </c>
      <c r="B10" s="85" t="s">
        <v>901</v>
      </c>
      <c r="C10" s="85" t="s">
        <v>492</v>
      </c>
      <c r="D10" s="85" t="s">
        <v>491</v>
      </c>
      <c r="E10" s="85" t="s">
        <v>9</v>
      </c>
      <c r="F10" s="86" t="n">
        <v>20</v>
      </c>
      <c r="G10" s="85" t="s">
        <v>397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903</v>
      </c>
      <c r="P10" s="1" t="n">
        <f aca="false">IFERROR(IF(LEFT(D10,1)="K",VLOOKUP(D10,Kit_Catalog!$A:$K,8,FALSE()),VLOOKUP(D10,Additional_Supply_Catalog!$A:$K,7,FALSE())),"")</f>
        <v>606</v>
      </c>
      <c r="Q10" s="1" t="n">
        <f aca="false">IFERROR(IF(LEFT(D10,1)="K",VLOOKUP(D10,Kit_Catalog!$A:$K,7,FALSE()),VLOOKUP(D10,Additional_Supply_Catalog!$A:$K,8,FALSE())),"")</f>
        <v>25</v>
      </c>
      <c r="R10" s="1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895</v>
      </c>
      <c r="B11" s="85" t="s">
        <v>901</v>
      </c>
      <c r="C11" s="85" t="s">
        <v>911</v>
      </c>
      <c r="D11" s="85" t="s">
        <v>555</v>
      </c>
      <c r="E11" s="85" t="s">
        <v>11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903</v>
      </c>
      <c r="P11" s="1" t="n">
        <f aca="false">IFERROR(IF(LEFT(D11,1)="K",VLOOKUP(D11,Kit_Catalog!$A:$K,8,FALSE()),VLOOKUP(D11,Additional_Supply_Catalog!$A:$K,7,FALSE())),"")</f>
        <v>6.1</v>
      </c>
      <c r="Q11" s="1" t="n">
        <f aca="false">IFERROR(IF(LEFT(D11,1)="K",VLOOKUP(D11,Kit_Catalog!$A:$K,7,FALSE()),VLOOKUP(D11,Additional_Supply_Catalog!$A:$K,8,FALSE())),"")</f>
        <v>25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895</v>
      </c>
      <c r="B12" s="85" t="s">
        <v>901</v>
      </c>
      <c r="C12" s="85" t="s">
        <v>911</v>
      </c>
      <c r="D12" s="85" t="s">
        <v>555</v>
      </c>
      <c r="E12" s="85" t="s">
        <v>13</v>
      </c>
      <c r="F12" s="86" t="n">
        <v>1</v>
      </c>
      <c r="G12" s="85" t="s">
        <v>548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903</v>
      </c>
      <c r="P12" s="1" t="n">
        <f aca="false">IFERROR(IF(LEFT(D12,1)="K",VLOOKUP(D12,Kit_Catalog!$A:$K,8,FALSE()),VLOOKUP(D12,Additional_Supply_Catalog!$A:$K,7,FALSE())),"")</f>
        <v>6.1</v>
      </c>
      <c r="Q12" s="1" t="n">
        <f aca="false">IFERROR(IF(LEFT(D12,1)="K",VLOOKUP(D12,Kit_Catalog!$A:$K,7,FALSE()),VLOOKUP(D12,Additional_Supply_Catalog!$A:$K,8,FALSE())),"")</f>
        <v>25</v>
      </c>
      <c r="R12" s="1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895</v>
      </c>
      <c r="B13" s="85" t="s">
        <v>901</v>
      </c>
      <c r="C13" s="85" t="s">
        <v>912</v>
      </c>
      <c r="D13" s="85"/>
      <c r="E13" s="85" t="s">
        <v>11</v>
      </c>
      <c r="F13" s="86" t="n">
        <v>1</v>
      </c>
      <c r="G13" s="85" t="s">
        <v>913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914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915</v>
      </c>
      <c r="B14" s="77" t="s">
        <v>896</v>
      </c>
      <c r="C14" s="78" t="s">
        <v>916</v>
      </c>
      <c r="D14" s="77"/>
      <c r="E14" s="77" t="s">
        <v>898</v>
      </c>
      <c r="F14" s="79"/>
      <c r="G14" s="77" t="s">
        <v>337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899</v>
      </c>
    </row>
    <row r="15" customFormat="false" ht="15" hidden="false" customHeight="true" outlineLevel="0" collapsed="false">
      <c r="A15" s="96" t="s">
        <v>915</v>
      </c>
      <c r="B15" s="96" t="s">
        <v>901</v>
      </c>
      <c r="C15" s="96" t="s">
        <v>917</v>
      </c>
      <c r="D15" s="96" t="s">
        <v>551</v>
      </c>
      <c r="E15" s="96" t="s">
        <v>11</v>
      </c>
      <c r="F15" s="97" t="n">
        <v>1</v>
      </c>
      <c r="G15" s="96" t="s">
        <v>571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1" t="n">
        <f aca="false">IFERROR(IF(LEFT(D15,1)="K",VLOOKUP(D15,Kit_Catalog!$A:$K,8,FALSE()),VLOOKUP(D15,Additional_Supply_Catalog!$A:$K,7,FALSE())),"")</f>
        <v>44.89</v>
      </c>
      <c r="Q15" s="1" t="n">
        <f aca="false">IFERROR(IF(LEFT(D15,1)="K",VLOOKUP(D15,Kit_Catalog!$A:$K,7,FALSE()),VLOOKUP(D15,Additional_Supply_Catalog!$A:$K,8,FALSE())),"")</f>
        <v>250</v>
      </c>
      <c r="R15" s="1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915</v>
      </c>
      <c r="B16" s="96" t="s">
        <v>901</v>
      </c>
      <c r="C16" s="96" t="s">
        <v>911</v>
      </c>
      <c r="D16" s="96" t="s">
        <v>555</v>
      </c>
      <c r="E16" s="96" t="s">
        <v>11</v>
      </c>
      <c r="F16" s="97" t="n">
        <v>1</v>
      </c>
      <c r="G16" s="96" t="s">
        <v>548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903</v>
      </c>
      <c r="P16" s="1" t="n">
        <f aca="false">IFERROR(IF(LEFT(D16,1)="K",VLOOKUP(D16,Kit_Catalog!$A:$K,8,FALSE()),VLOOKUP(D16,Additional_Supply_Catalog!$A:$K,7,FALSE())),"")</f>
        <v>6.1</v>
      </c>
      <c r="Q16" s="1" t="n">
        <f aca="false">IFERROR(IF(LEFT(D16,1)="K",VLOOKUP(D16,Kit_Catalog!$A:$K,7,FALSE()),VLOOKUP(D16,Additional_Supply_Catalog!$A:$K,8,FALSE())),"")</f>
        <v>25</v>
      </c>
      <c r="R16" s="1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915</v>
      </c>
      <c r="B17" s="96" t="s">
        <v>901</v>
      </c>
      <c r="C17" s="96" t="s">
        <v>574</v>
      </c>
      <c r="D17" s="96" t="s">
        <v>573</v>
      </c>
      <c r="E17" s="96" t="s">
        <v>11</v>
      </c>
      <c r="F17" s="97" t="n">
        <v>1</v>
      </c>
      <c r="G17" s="96" t="s">
        <v>373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1" t="n">
        <f aca="false">IFERROR(IF(LEFT(D17,1)="K",VLOOKUP(D17,Kit_Catalog!$A:$K,8,FALSE()),VLOOKUP(D17,Additional_Supply_Catalog!$A:$K,7,FALSE())),"")</f>
        <v>114</v>
      </c>
      <c r="Q17" s="1" t="n">
        <f aca="false">IFERROR(IF(LEFT(D17,1)="K",VLOOKUP(D17,Kit_Catalog!$A:$K,7,FALSE()),VLOOKUP(D17,Additional_Supply_Catalog!$A:$K,8,FALSE())),"")</f>
        <v>50</v>
      </c>
      <c r="R17" s="1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915</v>
      </c>
      <c r="B18" s="96" t="s">
        <v>901</v>
      </c>
      <c r="C18" s="96" t="s">
        <v>918</v>
      </c>
      <c r="D18" s="96" t="s">
        <v>584</v>
      </c>
      <c r="E18" s="96" t="s">
        <v>11</v>
      </c>
      <c r="F18" s="97" t="n">
        <v>1</v>
      </c>
      <c r="G18" s="96" t="s">
        <v>548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903</v>
      </c>
      <c r="P18" s="1" t="n">
        <f aca="false">IFERROR(IF(LEFT(D18,1)="K",VLOOKUP(D18,Kit_Catalog!$A:$K,8,FALSE()),VLOOKUP(D18,Additional_Supply_Catalog!$A:$K,7,FALSE())),"")</f>
        <v>19.16</v>
      </c>
      <c r="Q18" s="1" t="n">
        <f aca="false">IFERROR(IF(LEFT(D18,1)="K",VLOOKUP(D18,Kit_Catalog!$A:$K,7,FALSE()),VLOOKUP(D18,Additional_Supply_Catalog!$A:$K,8,FALSE())),"")</f>
        <v>12</v>
      </c>
      <c r="R18" s="1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915</v>
      </c>
      <c r="B19" s="96" t="s">
        <v>901</v>
      </c>
      <c r="C19" s="96" t="s">
        <v>919</v>
      </c>
      <c r="D19" s="96" t="s">
        <v>428</v>
      </c>
      <c r="E19" s="96" t="s">
        <v>11</v>
      </c>
      <c r="F19" s="97" t="n">
        <v>2</v>
      </c>
      <c r="G19" s="96" t="s">
        <v>397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1" t="n">
        <f aca="false">IFERROR(IF(LEFT(D19,1)="K",VLOOKUP(D19,Kit_Catalog!$A:$K,8,FALSE()),VLOOKUP(D19,Additional_Supply_Catalog!$A:$K,7,FALSE())),"")</f>
        <v>517</v>
      </c>
      <c r="Q19" s="1" t="n">
        <f aca="false">IFERROR(IF(LEFT(D19,1)="K",VLOOKUP(D19,Kit_Catalog!$A:$K,7,FALSE()),VLOOKUP(D19,Additional_Supply_Catalog!$A:$K,8,FALSE())),"")</f>
        <v>20</v>
      </c>
      <c r="R19" s="1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915</v>
      </c>
      <c r="B20" s="96" t="s">
        <v>901</v>
      </c>
      <c r="C20" s="96" t="s">
        <v>920</v>
      </c>
      <c r="D20" s="96" t="s">
        <v>431</v>
      </c>
      <c r="E20" s="96" t="s">
        <v>11</v>
      </c>
      <c r="F20" s="97" t="n">
        <v>10</v>
      </c>
      <c r="G20" s="96" t="s">
        <v>397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1" t="n">
        <f aca="false">IFERROR(IF(LEFT(D20,1)="K",VLOOKUP(D20,Kit_Catalog!$A:$K,8,FALSE()),VLOOKUP(D20,Additional_Supply_Catalog!$A:$K,7,FALSE())),"")</f>
        <v>229</v>
      </c>
      <c r="Q20" s="1" t="n">
        <f aca="false">IFERROR(IF(LEFT(D20,1)="K",VLOOKUP(D20,Kit_Catalog!$A:$K,7,FALSE()),VLOOKUP(D20,Additional_Supply_Catalog!$A:$K,8,FALSE())),"")</f>
        <v>1000</v>
      </c>
      <c r="R20" s="1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915</v>
      </c>
      <c r="B21" s="96" t="s">
        <v>901</v>
      </c>
      <c r="C21" s="96" t="s">
        <v>468</v>
      </c>
      <c r="D21" s="96" t="s">
        <v>466</v>
      </c>
      <c r="E21" s="96" t="s">
        <v>11</v>
      </c>
      <c r="F21" s="97" t="n">
        <v>0.38</v>
      </c>
      <c r="G21" s="96" t="s">
        <v>404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2.508</v>
      </c>
      <c r="K21" s="101" t="n">
        <f aca="false">IF(ISNUMBER(MATCH(G21,{"tube","each","plate","vial","kit","bottle","aliquot","strainer","cap","lane-rxn","tip","strip","lane","channel","library","sample"},0)),ROUNDUP(J21,0),ROUND(J21,2))</f>
        <v>2.51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1.57776</v>
      </c>
      <c r="N21" s="93" t="n">
        <f aca="false">IFERROR(J21*L21,"")</f>
        <v>10.413216</v>
      </c>
      <c r="O21" s="102" t="s">
        <v>921</v>
      </c>
      <c r="P21" s="1" t="n">
        <f aca="false">IFERROR(IF(LEFT(D21,1)="K",VLOOKUP(D21,Kit_Catalog!$A:$K,8,FALSE()),VLOOKUP(D21,Additional_Supply_Catalog!$A:$K,7,FALSE())),"")</f>
        <v>103.8</v>
      </c>
      <c r="Q21" s="1" t="n">
        <f aca="false">IFERROR(IF(LEFT(D21,1)="K",VLOOKUP(D21,Kit_Catalog!$A:$K,7,FALSE()),VLOOKUP(D21,Additional_Supply_Catalog!$A:$K,8,FALSE())),"")</f>
        <v>25</v>
      </c>
      <c r="R21" s="1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915</v>
      </c>
      <c r="B22" s="96" t="s">
        <v>901</v>
      </c>
      <c r="C22" s="96" t="s">
        <v>922</v>
      </c>
      <c r="D22" s="96" t="s">
        <v>339</v>
      </c>
      <c r="E22" s="96" t="s">
        <v>11</v>
      </c>
      <c r="F22" s="97" t="n">
        <v>19</v>
      </c>
      <c r="G22" s="96" t="s">
        <v>337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125.4</v>
      </c>
      <c r="K22" s="101" t="n">
        <f aca="false">IF(ISNUMBER(MATCH(G22,{"tube","each","plate","vial","kit","bottle","aliquot","strainer","cap","lane-rxn","tip","strip","lane","channel","library","sample"},0)),ROUNDUP(J22,0),ROUND(J22,2))</f>
        <v>125.4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0.72276</v>
      </c>
      <c r="N22" s="93" t="n">
        <f aca="false">IFERROR(J22*L22,"")</f>
        <v>4.770216</v>
      </c>
      <c r="O22" s="102"/>
      <c r="P22" s="1" t="n">
        <f aca="false">IFERROR(IF(LEFT(D22,1)="K",VLOOKUP(D22,Kit_Catalog!$A:$K,8,FALSE()),VLOOKUP(D22,Additional_Supply_Catalog!$A:$K,7,FALSE())),"")</f>
        <v>19.02</v>
      </c>
      <c r="Q22" s="1" t="n">
        <f aca="false">IFERROR(IF(LEFT(D22,1)="K",VLOOKUP(D22,Kit_Catalog!$A:$K,7,FALSE()),VLOOKUP(D22,Additional_Supply_Catalog!$A:$K,8,FALSE())),"")</f>
        <v>500</v>
      </c>
      <c r="R22" s="1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915</v>
      </c>
      <c r="B23" s="96" t="s">
        <v>901</v>
      </c>
      <c r="C23" s="96" t="s">
        <v>923</v>
      </c>
      <c r="D23" s="96" t="s">
        <v>421</v>
      </c>
      <c r="E23" s="96" t="s">
        <v>13</v>
      </c>
      <c r="F23" s="97" t="n">
        <v>3</v>
      </c>
      <c r="G23" s="96" t="s">
        <v>418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1" t="n">
        <f aca="false">IFERROR(IF(LEFT(D23,1)="K",VLOOKUP(D23,Kit_Catalog!$A:$K,8,FALSE()),VLOOKUP(D23,Additional_Supply_Catalog!$A:$K,7,FALSE())),"")</f>
        <v>4546.5</v>
      </c>
      <c r="Q23" s="1" t="n">
        <f aca="false">IFERROR(IF(LEFT(D23,1)="K",VLOOKUP(D23,Kit_Catalog!$A:$K,7,FALSE()),VLOOKUP(D23,Additional_Supply_Catalog!$A:$K,8,FALSE())),"")</f>
        <v>5</v>
      </c>
      <c r="R23" s="1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915</v>
      </c>
      <c r="B24" s="96" t="s">
        <v>901</v>
      </c>
      <c r="C24" s="96" t="s">
        <v>922</v>
      </c>
      <c r="D24" s="96" t="s">
        <v>339</v>
      </c>
      <c r="E24" s="96" t="s">
        <v>13</v>
      </c>
      <c r="F24" s="97" t="n">
        <v>9</v>
      </c>
      <c r="G24" s="96" t="s">
        <v>337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1" t="n">
        <f aca="false">IFERROR(IF(LEFT(D24,1)="K",VLOOKUP(D24,Kit_Catalog!$A:$K,8,FALSE()),VLOOKUP(D24,Additional_Supply_Catalog!$A:$K,7,FALSE())),"")</f>
        <v>19.02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915</v>
      </c>
      <c r="B25" s="96" t="s">
        <v>901</v>
      </c>
      <c r="C25" s="96" t="s">
        <v>468</v>
      </c>
      <c r="D25" s="96" t="s">
        <v>466</v>
      </c>
      <c r="E25" s="96" t="s">
        <v>13</v>
      </c>
      <c r="F25" s="97" t="n">
        <v>0.18</v>
      </c>
      <c r="G25" s="96" t="s">
        <v>404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924</v>
      </c>
      <c r="P25" s="1" t="n">
        <f aca="false">IFERROR(IF(LEFT(D25,1)="K",VLOOKUP(D25,Kit_Catalog!$A:$K,8,FALSE()),VLOOKUP(D25,Additional_Supply_Catalog!$A:$K,7,FALSE())),"")</f>
        <v>103.8</v>
      </c>
      <c r="Q25" s="1" t="n">
        <f aca="false">IFERROR(IF(LEFT(D25,1)="K",VLOOKUP(D25,Kit_Catalog!$A:$K,7,FALSE()),VLOOKUP(D25,Additional_Supply_Catalog!$A:$K,8,FALSE())),"")</f>
        <v>25</v>
      </c>
      <c r="R25" s="1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915</v>
      </c>
      <c r="B26" s="96" t="s">
        <v>901</v>
      </c>
      <c r="C26" s="96" t="s">
        <v>917</v>
      </c>
      <c r="D26" s="96" t="s">
        <v>551</v>
      </c>
      <c r="E26" s="96" t="s">
        <v>13</v>
      </c>
      <c r="F26" s="97" t="n">
        <v>1</v>
      </c>
      <c r="G26" s="96" t="s">
        <v>548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1" t="n">
        <f aca="false">IFERROR(IF(LEFT(D26,1)="K",VLOOKUP(D26,Kit_Catalog!$A:$K,8,FALSE()),VLOOKUP(D26,Additional_Supply_Catalog!$A:$K,7,FALSE())),"")</f>
        <v>44.89</v>
      </c>
      <c r="Q26" s="1" t="n">
        <f aca="false">IFERROR(IF(LEFT(D26,1)="K",VLOOKUP(D26,Kit_Catalog!$A:$K,7,FALSE()),VLOOKUP(D26,Additional_Supply_Catalog!$A:$K,8,FALSE())),"")</f>
        <v>250</v>
      </c>
      <c r="R26" s="1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915</v>
      </c>
      <c r="B27" s="96" t="s">
        <v>901</v>
      </c>
      <c r="C27" s="96" t="s">
        <v>911</v>
      </c>
      <c r="D27" s="96" t="s">
        <v>555</v>
      </c>
      <c r="E27" s="96" t="s">
        <v>13</v>
      </c>
      <c r="F27" s="97" t="n">
        <v>1</v>
      </c>
      <c r="G27" s="96" t="s">
        <v>548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903</v>
      </c>
      <c r="P27" s="1" t="n">
        <f aca="false">IFERROR(IF(LEFT(D27,1)="K",VLOOKUP(D27,Kit_Catalog!$A:$K,8,FALSE()),VLOOKUP(D27,Additional_Supply_Catalog!$A:$K,7,FALSE())),"")</f>
        <v>6.1</v>
      </c>
      <c r="Q27" s="1" t="n">
        <f aca="false">IFERROR(IF(LEFT(D27,1)="K",VLOOKUP(D27,Kit_Catalog!$A:$K,7,FALSE()),VLOOKUP(D27,Additional_Supply_Catalog!$A:$K,8,FALSE())),"")</f>
        <v>25</v>
      </c>
      <c r="R27" s="1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915</v>
      </c>
      <c r="B28" s="96" t="s">
        <v>901</v>
      </c>
      <c r="C28" s="96" t="s">
        <v>574</v>
      </c>
      <c r="D28" s="96" t="s">
        <v>573</v>
      </c>
      <c r="E28" s="96" t="s">
        <v>13</v>
      </c>
      <c r="F28" s="97" t="n">
        <v>1</v>
      </c>
      <c r="G28" s="96" t="s">
        <v>373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1" t="n">
        <f aca="false">IFERROR(IF(LEFT(D28,1)="K",VLOOKUP(D28,Kit_Catalog!$A:$K,8,FALSE()),VLOOKUP(D28,Additional_Supply_Catalog!$A:$K,7,FALSE())),"")</f>
        <v>114</v>
      </c>
      <c r="Q28" s="1" t="n">
        <f aca="false">IFERROR(IF(LEFT(D28,1)="K",VLOOKUP(D28,Kit_Catalog!$A:$K,7,FALSE()),VLOOKUP(D28,Additional_Supply_Catalog!$A:$K,8,FALSE())),"")</f>
        <v>50</v>
      </c>
      <c r="R28" s="1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925</v>
      </c>
      <c r="B29" s="77" t="s">
        <v>896</v>
      </c>
      <c r="C29" s="78" t="s">
        <v>916</v>
      </c>
      <c r="D29" s="77"/>
      <c r="E29" s="77" t="s">
        <v>898</v>
      </c>
      <c r="F29" s="79"/>
      <c r="G29" s="77" t="s">
        <v>337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899</v>
      </c>
    </row>
    <row r="30" customFormat="false" ht="21.75" hidden="false" customHeight="true" outlineLevel="0" collapsed="false">
      <c r="A30" s="77" t="s">
        <v>925</v>
      </c>
      <c r="B30" s="77" t="s">
        <v>896</v>
      </c>
      <c r="C30" s="78" t="s">
        <v>926</v>
      </c>
      <c r="D30" s="77"/>
      <c r="E30" s="77" t="s">
        <v>898</v>
      </c>
      <c r="F30" s="79"/>
      <c r="G30" s="77" t="s">
        <v>397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899</v>
      </c>
    </row>
    <row r="31" customFormat="false" ht="21.75" hidden="false" customHeight="true" outlineLevel="0" collapsed="false">
      <c r="A31" s="77" t="s">
        <v>925</v>
      </c>
      <c r="B31" s="77" t="s">
        <v>896</v>
      </c>
      <c r="C31" s="78" t="s">
        <v>927</v>
      </c>
      <c r="D31" s="77"/>
      <c r="E31" s="77" t="s">
        <v>898</v>
      </c>
      <c r="F31" s="79"/>
      <c r="G31" s="77" t="s">
        <v>397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899</v>
      </c>
    </row>
    <row r="32" customFormat="false" ht="21.75" hidden="false" customHeight="true" outlineLevel="0" collapsed="false">
      <c r="A32" s="77" t="s">
        <v>925</v>
      </c>
      <c r="B32" s="77" t="s">
        <v>896</v>
      </c>
      <c r="C32" s="78" t="s">
        <v>928</v>
      </c>
      <c r="D32" s="77"/>
      <c r="E32" s="77" t="s">
        <v>898</v>
      </c>
      <c r="F32" s="79"/>
      <c r="G32" s="77" t="s">
        <v>397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899</v>
      </c>
    </row>
    <row r="33" customFormat="false" ht="15" hidden="false" customHeight="true" outlineLevel="0" collapsed="false">
      <c r="A33" s="85" t="s">
        <v>925</v>
      </c>
      <c r="B33" s="85" t="s">
        <v>901</v>
      </c>
      <c r="C33" s="85" t="s">
        <v>917</v>
      </c>
      <c r="D33" s="85" t="s">
        <v>551</v>
      </c>
      <c r="E33" s="85" t="s">
        <v>11</v>
      </c>
      <c r="F33" s="86" t="n">
        <v>1</v>
      </c>
      <c r="G33" s="85" t="s">
        <v>571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1" t="n">
        <f aca="false">IFERROR(IF(LEFT(D33,1)="K",VLOOKUP(D33,Kit_Catalog!$A:$K,8,FALSE()),VLOOKUP(D33,Additional_Supply_Catalog!$A:$K,7,FALSE())),"")</f>
        <v>44.89</v>
      </c>
      <c r="Q33" s="1" t="n">
        <f aca="false">IFERROR(IF(LEFT(D33,1)="K",VLOOKUP(D33,Kit_Catalog!$A:$K,7,FALSE()),VLOOKUP(D33,Additional_Supply_Catalog!$A:$K,8,FALSE())),"")</f>
        <v>250</v>
      </c>
      <c r="R33" s="1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925</v>
      </c>
      <c r="B34" s="85" t="s">
        <v>901</v>
      </c>
      <c r="C34" s="85" t="s">
        <v>911</v>
      </c>
      <c r="D34" s="85" t="s">
        <v>555</v>
      </c>
      <c r="E34" s="85" t="s">
        <v>11</v>
      </c>
      <c r="F34" s="86" t="n">
        <v>1</v>
      </c>
      <c r="G34" s="85" t="s">
        <v>548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903</v>
      </c>
      <c r="P34" s="1" t="n">
        <f aca="false">IFERROR(IF(LEFT(D34,1)="K",VLOOKUP(D34,Kit_Catalog!$A:$K,8,FALSE()),VLOOKUP(D34,Additional_Supply_Catalog!$A:$K,7,FALSE())),"")</f>
        <v>6.1</v>
      </c>
      <c r="Q34" s="1" t="n">
        <f aca="false">IFERROR(IF(LEFT(D34,1)="K",VLOOKUP(D34,Kit_Catalog!$A:$K,7,FALSE()),VLOOKUP(D34,Additional_Supply_Catalog!$A:$K,8,FALSE())),"")</f>
        <v>25</v>
      </c>
      <c r="R34" s="1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925</v>
      </c>
      <c r="B35" s="85" t="s">
        <v>901</v>
      </c>
      <c r="C35" s="85" t="s">
        <v>574</v>
      </c>
      <c r="D35" s="85" t="s">
        <v>573</v>
      </c>
      <c r="E35" s="85" t="s">
        <v>11</v>
      </c>
      <c r="F35" s="86" t="n">
        <v>1</v>
      </c>
      <c r="G35" s="85" t="s">
        <v>373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1" t="n">
        <f aca="false">IFERROR(IF(LEFT(D35,1)="K",VLOOKUP(D35,Kit_Catalog!$A:$K,8,FALSE()),VLOOKUP(D35,Additional_Supply_Catalog!$A:$K,7,FALSE())),"")</f>
        <v>114</v>
      </c>
      <c r="Q35" s="1" t="n">
        <f aca="false">IFERROR(IF(LEFT(D35,1)="K",VLOOKUP(D35,Kit_Catalog!$A:$K,7,FALSE()),VLOOKUP(D35,Additional_Supply_Catalog!$A:$K,8,FALSE())),"")</f>
        <v>50</v>
      </c>
      <c r="R35" s="1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925</v>
      </c>
      <c r="B36" s="85" t="s">
        <v>901</v>
      </c>
      <c r="C36" s="85" t="s">
        <v>918</v>
      </c>
      <c r="D36" s="85" t="s">
        <v>584</v>
      </c>
      <c r="E36" s="85" t="s">
        <v>11</v>
      </c>
      <c r="F36" s="86" t="n">
        <v>1</v>
      </c>
      <c r="G36" s="85" t="s">
        <v>548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903</v>
      </c>
      <c r="P36" s="1" t="n">
        <f aca="false">IFERROR(IF(LEFT(D36,1)="K",VLOOKUP(D36,Kit_Catalog!$A:$K,8,FALSE()),VLOOKUP(D36,Additional_Supply_Catalog!$A:$K,7,FALSE())),"")</f>
        <v>19.16</v>
      </c>
      <c r="Q36" s="1" t="n">
        <f aca="false">IFERROR(IF(LEFT(D36,1)="K",VLOOKUP(D36,Kit_Catalog!$A:$K,7,FALSE()),VLOOKUP(D36,Additional_Supply_Catalog!$A:$K,8,FALSE())),"")</f>
        <v>12</v>
      </c>
      <c r="R36" s="1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925</v>
      </c>
      <c r="B37" s="85" t="s">
        <v>901</v>
      </c>
      <c r="C37" s="85" t="s">
        <v>929</v>
      </c>
      <c r="D37" s="85" t="s">
        <v>424</v>
      </c>
      <c r="E37" s="85" t="s">
        <v>11</v>
      </c>
      <c r="F37" s="86" t="n">
        <v>2</v>
      </c>
      <c r="G37" s="85" t="s">
        <v>397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1" t="n">
        <f aca="false">IFERROR(IF(LEFT(D37,1)="K",VLOOKUP(D37,Kit_Catalog!$A:$K,8,FALSE()),VLOOKUP(D37,Additional_Supply_Catalog!$A:$K,7,FALSE())),"")</f>
        <v>517</v>
      </c>
      <c r="Q37" s="1" t="n">
        <f aca="false">IFERROR(IF(LEFT(D37,1)="K",VLOOKUP(D37,Kit_Catalog!$A:$K,7,FALSE()),VLOOKUP(D37,Additional_Supply_Catalog!$A:$K,8,FALSE())),"")</f>
        <v>20</v>
      </c>
      <c r="R37" s="1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925</v>
      </c>
      <c r="B38" s="85" t="s">
        <v>901</v>
      </c>
      <c r="C38" s="85" t="s">
        <v>920</v>
      </c>
      <c r="D38" s="85" t="s">
        <v>431</v>
      </c>
      <c r="E38" s="85" t="s">
        <v>11</v>
      </c>
      <c r="F38" s="86" t="n">
        <v>10</v>
      </c>
      <c r="G38" s="85" t="s">
        <v>397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1" t="n">
        <f aca="false">IFERROR(IF(LEFT(D38,1)="K",VLOOKUP(D38,Kit_Catalog!$A:$K,8,FALSE()),VLOOKUP(D38,Additional_Supply_Catalog!$A:$K,7,FALSE())),"")</f>
        <v>229</v>
      </c>
      <c r="Q38" s="1" t="n">
        <f aca="false">IFERROR(IF(LEFT(D38,1)="K",VLOOKUP(D38,Kit_Catalog!$A:$K,7,FALSE()),VLOOKUP(D38,Additional_Supply_Catalog!$A:$K,8,FALSE())),"")</f>
        <v>1000</v>
      </c>
      <c r="R38" s="1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925</v>
      </c>
      <c r="B39" s="85" t="s">
        <v>901</v>
      </c>
      <c r="C39" s="85" t="s">
        <v>468</v>
      </c>
      <c r="D39" s="85" t="s">
        <v>466</v>
      </c>
      <c r="E39" s="85" t="s">
        <v>11</v>
      </c>
      <c r="F39" s="86" t="n">
        <v>0.38</v>
      </c>
      <c r="G39" s="85" t="s">
        <v>404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2.508</v>
      </c>
      <c r="K39" s="90" t="n">
        <f aca="false">IF(ISNUMBER(MATCH(G39,{"tube","each","plate","vial","kit","bottle","aliquot","strainer","cap","lane-rxn","tip","strip","lane","channel","library","sample"},0)),ROUNDUP(J39,0),ROUND(J39,2))</f>
        <v>2.51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1.57776</v>
      </c>
      <c r="N39" s="93" t="n">
        <f aca="false">IFERROR(J39*L39,"")</f>
        <v>10.413216</v>
      </c>
      <c r="O39" s="94" t="s">
        <v>930</v>
      </c>
      <c r="P39" s="1" t="n">
        <f aca="false">IFERROR(IF(LEFT(D39,1)="K",VLOOKUP(D39,Kit_Catalog!$A:$K,8,FALSE()),VLOOKUP(D39,Additional_Supply_Catalog!$A:$K,7,FALSE())),"")</f>
        <v>103.8</v>
      </c>
      <c r="Q39" s="1" t="n">
        <f aca="false">IFERROR(IF(LEFT(D39,1)="K",VLOOKUP(D39,Kit_Catalog!$A:$K,7,FALSE()),VLOOKUP(D39,Additional_Supply_Catalog!$A:$K,8,FALSE())),"")</f>
        <v>25</v>
      </c>
      <c r="R39" s="1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925</v>
      </c>
      <c r="B40" s="85" t="s">
        <v>901</v>
      </c>
      <c r="C40" s="85" t="s">
        <v>922</v>
      </c>
      <c r="D40" s="85" t="s">
        <v>339</v>
      </c>
      <c r="E40" s="85" t="s">
        <v>11</v>
      </c>
      <c r="F40" s="86" t="n">
        <v>19</v>
      </c>
      <c r="G40" s="85" t="s">
        <v>337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125.4</v>
      </c>
      <c r="K40" s="90" t="n">
        <f aca="false">IF(ISNUMBER(MATCH(G40,{"tube","each","plate","vial","kit","bottle","aliquot","strainer","cap","lane-rxn","tip","strip","lane","channel","library","sample"},0)),ROUNDUP(J40,0),ROUND(J40,2))</f>
        <v>125.4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0.72276</v>
      </c>
      <c r="N40" s="93" t="n">
        <f aca="false">IFERROR(J40*L40,"")</f>
        <v>4.770216</v>
      </c>
      <c r="O40" s="94" t="s">
        <v>931</v>
      </c>
      <c r="P40" s="1" t="n">
        <f aca="false">IFERROR(IF(LEFT(D40,1)="K",VLOOKUP(D40,Kit_Catalog!$A:$K,8,FALSE()),VLOOKUP(D40,Additional_Supply_Catalog!$A:$K,7,FALSE())),"")</f>
        <v>19.02</v>
      </c>
      <c r="Q40" s="1" t="n">
        <f aca="false">IFERROR(IF(LEFT(D40,1)="K",VLOOKUP(D40,Kit_Catalog!$A:$K,7,FALSE()),VLOOKUP(D40,Additional_Supply_Catalog!$A:$K,8,FALSE())),"")</f>
        <v>500</v>
      </c>
      <c r="R40" s="1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925</v>
      </c>
      <c r="B41" s="85" t="s">
        <v>901</v>
      </c>
      <c r="C41" s="85" t="s">
        <v>932</v>
      </c>
      <c r="D41" s="85" t="s">
        <v>393</v>
      </c>
      <c r="E41" s="85" t="s">
        <v>13</v>
      </c>
      <c r="F41" s="86" t="n">
        <v>30</v>
      </c>
      <c r="G41" s="85" t="s">
        <v>397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1" t="n">
        <f aca="false">IFERROR(IF(LEFT(D41,1)="K",VLOOKUP(D41,Kit_Catalog!$A:$K,8,FALSE()),VLOOKUP(D41,Additional_Supply_Catalog!$A:$K,7,FALSE())),"")</f>
        <v>47</v>
      </c>
      <c r="Q41" s="1" t="n">
        <f aca="false">IFERROR(IF(LEFT(D41,1)="K",VLOOKUP(D41,Kit_Catalog!$A:$K,7,FALSE()),VLOOKUP(D41,Additional_Supply_Catalog!$A:$K,8,FALSE())),"")</f>
        <v>1000</v>
      </c>
      <c r="R41" s="1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925</v>
      </c>
      <c r="B42" s="85" t="s">
        <v>901</v>
      </c>
      <c r="C42" s="85" t="s">
        <v>401</v>
      </c>
      <c r="D42" s="85" t="s">
        <v>400</v>
      </c>
      <c r="E42" s="85" t="s">
        <v>13</v>
      </c>
      <c r="F42" s="86" t="n">
        <v>32</v>
      </c>
      <c r="G42" s="85" t="s">
        <v>397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1" t="n">
        <f aca="false">IFERROR(IF(LEFT(D42,1)="K",VLOOKUP(D42,Kit_Catalog!$A:$K,8,FALSE()),VLOOKUP(D42,Additional_Supply_Catalog!$A:$K,7,FALSE())),"")</f>
        <v>46.2</v>
      </c>
      <c r="Q42" s="1" t="n">
        <f aca="false">IFERROR(IF(LEFT(D42,1)="K",VLOOKUP(D42,Kit_Catalog!$A:$K,7,FALSE()),VLOOKUP(D42,Additional_Supply_Catalog!$A:$K,8,FALSE())),"")</f>
        <v>500</v>
      </c>
      <c r="R42" s="1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925</v>
      </c>
      <c r="B43" s="85" t="s">
        <v>901</v>
      </c>
      <c r="C43" s="85" t="s">
        <v>933</v>
      </c>
      <c r="D43" s="85" t="s">
        <v>438</v>
      </c>
      <c r="E43" s="85" t="s">
        <v>13</v>
      </c>
      <c r="F43" s="86" t="n">
        <v>11</v>
      </c>
      <c r="G43" s="85" t="s">
        <v>397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1" t="n">
        <f aca="false">IFERROR(IF(LEFT(D43,1)="K",VLOOKUP(D43,Kit_Catalog!$A:$K,8,FALSE()),VLOOKUP(D43,Additional_Supply_Catalog!$A:$K,7,FALSE())),"")</f>
        <v>44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925</v>
      </c>
      <c r="B44" s="85" t="s">
        <v>901</v>
      </c>
      <c r="C44" s="85" t="s">
        <v>445</v>
      </c>
      <c r="D44" s="85" t="s">
        <v>444</v>
      </c>
      <c r="E44" s="85" t="s">
        <v>13</v>
      </c>
      <c r="F44" s="86" t="n">
        <v>2.2</v>
      </c>
      <c r="G44" s="85" t="s">
        <v>397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1" t="n">
        <f aca="false">IFERROR(IF(LEFT(D44,1)="K",VLOOKUP(D44,Kit_Catalog!$A:$K,8,FALSE()),VLOOKUP(D44,Additional_Supply_Catalog!$A:$K,7,FALSE())),"")</f>
        <v>14.55</v>
      </c>
      <c r="Q44" s="1" t="n">
        <f aca="false">IFERROR(IF(LEFT(D44,1)="K",VLOOKUP(D44,Kit_Catalog!$A:$K,7,FALSE()),VLOOKUP(D44,Additional_Supply_Catalog!$A:$K,8,FALSE())),"")</f>
        <v>1000</v>
      </c>
      <c r="R44" s="1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925</v>
      </c>
      <c r="B45" s="85" t="s">
        <v>901</v>
      </c>
      <c r="C45" s="85" t="s">
        <v>451</v>
      </c>
      <c r="D45" s="85" t="s">
        <v>450</v>
      </c>
      <c r="E45" s="85" t="s">
        <v>13</v>
      </c>
      <c r="F45" s="86" t="n">
        <v>3.3</v>
      </c>
      <c r="G45" s="85" t="s">
        <v>397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1" t="n">
        <f aca="false">IFERROR(IF(LEFT(D45,1)="K",VLOOKUP(D45,Kit_Catalog!$A:$K,8,FALSE()),VLOOKUP(D45,Additional_Supply_Catalog!$A:$K,7,FALSE())),"")</f>
        <v>57</v>
      </c>
      <c r="Q45" s="1" t="n">
        <f aca="false">IFERROR(IF(LEFT(D45,1)="K",VLOOKUP(D45,Kit_Catalog!$A:$K,7,FALSE()),VLOOKUP(D45,Additional_Supply_Catalog!$A:$K,8,FALSE())),"")</f>
        <v>100</v>
      </c>
      <c r="R45" s="1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925</v>
      </c>
      <c r="B46" s="85" t="s">
        <v>901</v>
      </c>
      <c r="C46" s="85" t="s">
        <v>934</v>
      </c>
      <c r="D46" s="85" t="s">
        <v>455</v>
      </c>
      <c r="E46" s="85" t="s">
        <v>13</v>
      </c>
      <c r="F46" s="86" t="n">
        <v>1</v>
      </c>
      <c r="G46" s="85" t="s">
        <v>397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1" t="n">
        <f aca="false">IFERROR(IF(LEFT(D46,1)="K",VLOOKUP(D46,Kit_Catalog!$A:$K,8,FALSE()),VLOOKUP(D46,Additional_Supply_Catalog!$A:$K,7,FALSE())),"")</f>
        <v>106</v>
      </c>
      <c r="Q46" s="1" t="n">
        <f aca="false">IFERROR(IF(LEFT(D46,1)="K",VLOOKUP(D46,Kit_Catalog!$A:$K,7,FALSE()),VLOOKUP(D46,Additional_Supply_Catalog!$A:$K,8,FALSE())),"")</f>
        <v>500</v>
      </c>
      <c r="R46" s="1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925</v>
      </c>
      <c r="B47" s="85" t="s">
        <v>901</v>
      </c>
      <c r="C47" s="85" t="s">
        <v>461</v>
      </c>
      <c r="D47" s="85" t="s">
        <v>460</v>
      </c>
      <c r="E47" s="85" t="s">
        <v>13</v>
      </c>
      <c r="F47" s="86" t="n">
        <v>0.2</v>
      </c>
      <c r="G47" s="85" t="s">
        <v>397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1" t="n">
        <f aca="false">IFERROR(IF(LEFT(D47,1)="K",VLOOKUP(D47,Kit_Catalog!$A:$K,8,FALSE()),VLOOKUP(D47,Additional_Supply_Catalog!$A:$K,7,FALSE())),"")</f>
        <v>124.65</v>
      </c>
      <c r="Q47" s="1" t="n">
        <f aca="false">IFERROR(IF(LEFT(D47,1)="K",VLOOKUP(D47,Kit_Catalog!$A:$K,7,FALSE()),VLOOKUP(D47,Additional_Supply_Catalog!$A:$K,8,FALSE())),"")</f>
        <v>1</v>
      </c>
      <c r="R47" s="1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925</v>
      </c>
      <c r="B48" s="85" t="s">
        <v>901</v>
      </c>
      <c r="C48" s="85" t="s">
        <v>382</v>
      </c>
      <c r="D48" s="85" t="s">
        <v>381</v>
      </c>
      <c r="E48" s="85" t="s">
        <v>13</v>
      </c>
      <c r="F48" s="86" t="n">
        <v>1</v>
      </c>
      <c r="G48" s="85" t="s">
        <v>397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1" t="n">
        <f aca="false">IFERROR(IF(LEFT(D48,1)="K",VLOOKUP(D48,Kit_Catalog!$A:$K,8,FALSE()),VLOOKUP(D48,Additional_Supply_Catalog!$A:$K,7,FALSE())),"")</f>
        <v>40.52</v>
      </c>
      <c r="Q48" s="1" t="n">
        <f aca="false">IFERROR(IF(LEFT(D48,1)="K",VLOOKUP(D48,Kit_Catalog!$A:$K,7,FALSE()),VLOOKUP(D48,Additional_Supply_Catalog!$A:$K,8,FALSE())),"")</f>
        <v>5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925</v>
      </c>
      <c r="B49" s="85" t="s">
        <v>901</v>
      </c>
      <c r="C49" s="85" t="s">
        <v>411</v>
      </c>
      <c r="D49" s="85" t="s">
        <v>410</v>
      </c>
      <c r="E49" s="85" t="s">
        <v>13</v>
      </c>
      <c r="F49" s="86" t="n">
        <v>0.5</v>
      </c>
      <c r="G49" s="85" t="s">
        <v>397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903</v>
      </c>
      <c r="P49" s="1" t="n">
        <f aca="false">IFERROR(IF(LEFT(D49,1)="K",VLOOKUP(D49,Kit_Catalog!$A:$K,8,FALSE()),VLOOKUP(D49,Additional_Supply_Catalog!$A:$K,7,FALSE())),"")</f>
        <v>0</v>
      </c>
      <c r="Q49" s="1" t="n">
        <f aca="false">IFERROR(IF(LEFT(D49,1)="K",VLOOKUP(D49,Kit_Catalog!$A:$K,7,FALSE()),VLOOKUP(D49,Additional_Supply_Catalog!$A:$K,8,FALSE())),"")</f>
        <v>0</v>
      </c>
      <c r="R49" s="1" t="str">
        <f aca="false">IFERROR(IF(LEFT(D49,1)="K","rxn",VLOOKUP(D49,Additional_Supply_Catalog!$A:$K,9,FALSE())),"")</f>
        <v>uL</v>
      </c>
    </row>
    <row r="50" customFormat="false" ht="15" hidden="false" customHeight="true" outlineLevel="0" collapsed="false">
      <c r="A50" s="85" t="s">
        <v>925</v>
      </c>
      <c r="B50" s="85" t="s">
        <v>901</v>
      </c>
      <c r="C50" s="85" t="s">
        <v>935</v>
      </c>
      <c r="D50" s="85" t="s">
        <v>413</v>
      </c>
      <c r="E50" s="85" t="s">
        <v>13</v>
      </c>
      <c r="F50" s="86" t="n">
        <v>3</v>
      </c>
      <c r="G50" s="85" t="s">
        <v>418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1" t="n">
        <f aca="false">IFERROR(IF(LEFT(D50,1)="K",VLOOKUP(D50,Kit_Catalog!$A:$K,8,FALSE()),VLOOKUP(D50,Additional_Supply_Catalog!$A:$K,7,FALSE())),"")</f>
        <v>4546.5</v>
      </c>
      <c r="Q50" s="1" t="n">
        <f aca="false">IFERROR(IF(LEFT(D50,1)="K",VLOOKUP(D50,Kit_Catalog!$A:$K,7,FALSE()),VLOOKUP(D50,Additional_Supply_Catalog!$A:$K,8,FALSE())),"")</f>
        <v>5</v>
      </c>
      <c r="R50" s="1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925</v>
      </c>
      <c r="B51" s="85" t="s">
        <v>901</v>
      </c>
      <c r="C51" s="85" t="s">
        <v>922</v>
      </c>
      <c r="D51" s="85" t="s">
        <v>339</v>
      </c>
      <c r="E51" s="85" t="s">
        <v>13</v>
      </c>
      <c r="F51" s="86" t="n">
        <v>2.45</v>
      </c>
      <c r="G51" s="85" t="s">
        <v>337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1" t="n">
        <f aca="false">IFERROR(IF(LEFT(D51,1)="K",VLOOKUP(D51,Kit_Catalog!$A:$K,8,FALSE()),VLOOKUP(D51,Additional_Supply_Catalog!$A:$K,7,FALSE())),"")</f>
        <v>19.02</v>
      </c>
      <c r="Q51" s="1" t="n">
        <f aca="false">IFERROR(IF(LEFT(D51,1)="K",VLOOKUP(D51,Kit_Catalog!$A:$K,7,FALSE()),VLOOKUP(D51,Additional_Supply_Catalog!$A:$K,8,FALSE())),"")</f>
        <v>500</v>
      </c>
      <c r="R51" s="1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925</v>
      </c>
      <c r="B52" s="85" t="s">
        <v>901</v>
      </c>
      <c r="C52" s="85" t="s">
        <v>335</v>
      </c>
      <c r="D52" s="85" t="s">
        <v>333</v>
      </c>
      <c r="E52" s="85" t="s">
        <v>13</v>
      </c>
      <c r="F52" s="86" t="n">
        <v>0.97</v>
      </c>
      <c r="G52" s="85" t="s">
        <v>337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903</v>
      </c>
      <c r="P52" s="1" t="n">
        <f aca="false">IFERROR(IF(LEFT(D52,1)="K",VLOOKUP(D52,Kit_Catalog!$A:$K,8,FALSE()),VLOOKUP(D52,Additional_Supply_Catalog!$A:$K,7,FALSE())),"")</f>
        <v>13.86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925</v>
      </c>
      <c r="B53" s="85" t="s">
        <v>901</v>
      </c>
      <c r="C53" s="85" t="s">
        <v>468</v>
      </c>
      <c r="D53" s="85" t="s">
        <v>466</v>
      </c>
      <c r="E53" s="85" t="s">
        <v>13</v>
      </c>
      <c r="F53" s="86" t="n">
        <v>0.18</v>
      </c>
      <c r="G53" s="85" t="s">
        <v>404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936</v>
      </c>
      <c r="P53" s="1" t="n">
        <f aca="false">IFERROR(IF(LEFT(D53,1)="K",VLOOKUP(D53,Kit_Catalog!$A:$K,8,FALSE()),VLOOKUP(D53,Additional_Supply_Catalog!$A:$K,7,FALSE())),"")</f>
        <v>103.8</v>
      </c>
      <c r="Q53" s="1" t="n">
        <f aca="false">IFERROR(IF(LEFT(D53,1)="K",VLOOKUP(D53,Kit_Catalog!$A:$K,7,FALSE()),VLOOKUP(D53,Additional_Supply_Catalog!$A:$K,8,FALSE())),"")</f>
        <v>25</v>
      </c>
      <c r="R53" s="1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925</v>
      </c>
      <c r="B54" s="85" t="s">
        <v>901</v>
      </c>
      <c r="C54" s="85" t="s">
        <v>917</v>
      </c>
      <c r="D54" s="85" t="s">
        <v>551</v>
      </c>
      <c r="E54" s="85" t="s">
        <v>13</v>
      </c>
      <c r="F54" s="86" t="n">
        <v>1</v>
      </c>
      <c r="G54" s="85" t="s">
        <v>548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1" t="n">
        <f aca="false">IFERROR(IF(LEFT(D54,1)="K",VLOOKUP(D54,Kit_Catalog!$A:$K,8,FALSE()),VLOOKUP(D54,Additional_Supply_Catalog!$A:$K,7,FALSE())),"")</f>
        <v>44.89</v>
      </c>
      <c r="Q54" s="1" t="n">
        <f aca="false">IFERROR(IF(LEFT(D54,1)="K",VLOOKUP(D54,Kit_Catalog!$A:$K,7,FALSE()),VLOOKUP(D54,Additional_Supply_Catalog!$A:$K,8,FALSE())),"")</f>
        <v>250</v>
      </c>
      <c r="R54" s="1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925</v>
      </c>
      <c r="B55" s="85" t="s">
        <v>901</v>
      </c>
      <c r="C55" s="85" t="s">
        <v>911</v>
      </c>
      <c r="D55" s="85" t="s">
        <v>555</v>
      </c>
      <c r="E55" s="85" t="s">
        <v>13</v>
      </c>
      <c r="F55" s="86" t="n">
        <v>1</v>
      </c>
      <c r="G55" s="85" t="s">
        <v>548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903</v>
      </c>
      <c r="P55" s="1" t="n">
        <f aca="false">IFERROR(IF(LEFT(D55,1)="K",VLOOKUP(D55,Kit_Catalog!$A:$K,8,FALSE()),VLOOKUP(D55,Additional_Supply_Catalog!$A:$K,7,FALSE())),"")</f>
        <v>6.1</v>
      </c>
      <c r="Q55" s="1" t="n">
        <f aca="false">IFERROR(IF(LEFT(D55,1)="K",VLOOKUP(D55,Kit_Catalog!$A:$K,7,FALSE()),VLOOKUP(D55,Additional_Supply_Catalog!$A:$K,8,FALSE())),"")</f>
        <v>25</v>
      </c>
      <c r="R55" s="1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925</v>
      </c>
      <c r="B56" s="85" t="s">
        <v>901</v>
      </c>
      <c r="C56" s="85" t="s">
        <v>937</v>
      </c>
      <c r="D56" s="85" t="s">
        <v>557</v>
      </c>
      <c r="E56" s="85" t="s">
        <v>13</v>
      </c>
      <c r="F56" s="86" t="n">
        <v>0.125</v>
      </c>
      <c r="G56" s="85" t="s">
        <v>562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1" t="n">
        <f aca="false">IFERROR(IF(LEFT(D56,1)="K",VLOOKUP(D56,Kit_Catalog!$A:$K,8,FALSE()),VLOOKUP(D56,Additional_Supply_Catalog!$A:$K,7,FALSE())),"")</f>
        <v>97.55</v>
      </c>
      <c r="Q56" s="1" t="n">
        <f aca="false">IFERROR(IF(LEFT(D56,1)="K",VLOOKUP(D56,Kit_Catalog!$A:$K,7,FALSE()),VLOOKUP(D56,Additional_Supply_Catalog!$A:$K,8,FALSE())),"")</f>
        <v>125</v>
      </c>
      <c r="R56" s="1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925</v>
      </c>
      <c r="B57" s="85" t="s">
        <v>901</v>
      </c>
      <c r="C57" s="85" t="s">
        <v>574</v>
      </c>
      <c r="D57" s="85" t="s">
        <v>573</v>
      </c>
      <c r="E57" s="85" t="s">
        <v>13</v>
      </c>
      <c r="F57" s="86" t="n">
        <v>1</v>
      </c>
      <c r="G57" s="85" t="s">
        <v>373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1" t="n">
        <f aca="false">IFERROR(IF(LEFT(D57,1)="K",VLOOKUP(D57,Kit_Catalog!$A:$K,8,FALSE()),VLOOKUP(D57,Additional_Supply_Catalog!$A:$K,7,FALSE())),"")</f>
        <v>114</v>
      </c>
      <c r="Q57" s="1" t="n">
        <f aca="false">IFERROR(IF(LEFT(D57,1)="K",VLOOKUP(D57,Kit_Catalog!$A:$K,7,FALSE()),VLOOKUP(D57,Additional_Supply_Catalog!$A:$K,8,FALSE())),"")</f>
        <v>50</v>
      </c>
      <c r="R57" s="1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938</v>
      </c>
      <c r="B58" s="85" t="s">
        <v>896</v>
      </c>
      <c r="C58" s="85" t="s">
        <v>939</v>
      </c>
      <c r="D58" s="85"/>
      <c r="E58" s="85" t="s">
        <v>898</v>
      </c>
      <c r="F58" s="86"/>
      <c r="G58" s="85" t="s">
        <v>337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899</v>
      </c>
    </row>
    <row r="59" customFormat="false" ht="21.75" hidden="false" customHeight="true" outlineLevel="0" collapsed="false">
      <c r="A59" s="77" t="s">
        <v>938</v>
      </c>
      <c r="B59" s="77" t="s">
        <v>896</v>
      </c>
      <c r="C59" s="78" t="s">
        <v>940</v>
      </c>
      <c r="D59" s="77"/>
      <c r="E59" s="77" t="s">
        <v>898</v>
      </c>
      <c r="F59" s="79"/>
      <c r="G59" s="77" t="s">
        <v>337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899</v>
      </c>
    </row>
    <row r="60" customFormat="false" ht="21.75" hidden="false" customHeight="true" outlineLevel="0" collapsed="false">
      <c r="A60" s="77" t="s">
        <v>938</v>
      </c>
      <c r="B60" s="77" t="s">
        <v>901</v>
      </c>
      <c r="C60" s="78" t="s">
        <v>918</v>
      </c>
      <c r="D60" s="77" t="s">
        <v>584</v>
      </c>
      <c r="E60" s="77" t="s">
        <v>11</v>
      </c>
      <c r="F60" s="79" t="n">
        <v>1</v>
      </c>
      <c r="G60" s="77" t="s">
        <v>548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903</v>
      </c>
      <c r="P60" s="1" t="n">
        <f aca="false">IFERROR(IF(LEFT(D60,1)="K",VLOOKUP(D60,Kit_Catalog!$A:$K,8,FALSE()),VLOOKUP(D60,Additional_Supply_Catalog!$A:$K,7,FALSE())),"")</f>
        <v>19.16</v>
      </c>
      <c r="Q60" s="1" t="n">
        <f aca="false">IFERROR(IF(LEFT(D60,1)="K",VLOOKUP(D60,Kit_Catalog!$A:$K,7,FALSE()),VLOOKUP(D60,Additional_Supply_Catalog!$A:$K,8,FALSE())),"")</f>
        <v>12</v>
      </c>
      <c r="R60" s="1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938</v>
      </c>
      <c r="B61" s="96" t="s">
        <v>901</v>
      </c>
      <c r="C61" s="96" t="s">
        <v>601</v>
      </c>
      <c r="D61" s="96" t="s">
        <v>600</v>
      </c>
      <c r="E61" s="96" t="s">
        <v>11</v>
      </c>
      <c r="F61" s="97" t="n">
        <v>61.5</v>
      </c>
      <c r="G61" s="96" t="s">
        <v>397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941</v>
      </c>
      <c r="P61" s="1" t="n">
        <f aca="false">IFERROR(IF(LEFT(D61,1)="K",VLOOKUP(D61,Kit_Catalog!$A:$K,8,FALSE()),VLOOKUP(D61,Additional_Supply_Catalog!$A:$K,7,FALSE())),"")</f>
        <v>0</v>
      </c>
      <c r="Q61" s="1" t="n">
        <f aca="false">IFERROR(IF(LEFT(D61,1)="K",VLOOKUP(D61,Kit_Catalog!$A:$K,7,FALSE()),VLOOKUP(D61,Additional_Supply_Catalog!$A:$K,8,FALSE())),"")</f>
        <v>1</v>
      </c>
      <c r="R61" s="1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938</v>
      </c>
      <c r="B62" s="96" t="s">
        <v>901</v>
      </c>
      <c r="C62" s="96" t="s">
        <v>920</v>
      </c>
      <c r="D62" s="96" t="s">
        <v>431</v>
      </c>
      <c r="E62" s="96" t="s">
        <v>11</v>
      </c>
      <c r="F62" s="97" t="n">
        <v>10</v>
      </c>
      <c r="G62" s="96" t="s">
        <v>397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942</v>
      </c>
      <c r="P62" s="1" t="n">
        <f aca="false">IFERROR(IF(LEFT(D62,1)="K",VLOOKUP(D62,Kit_Catalog!$A:$K,8,FALSE()),VLOOKUP(D62,Additional_Supply_Catalog!$A:$K,7,FALSE())),"")</f>
        <v>229</v>
      </c>
      <c r="Q62" s="1" t="n">
        <f aca="false">IFERROR(IF(LEFT(D62,1)="K",VLOOKUP(D62,Kit_Catalog!$A:$K,7,FALSE()),VLOOKUP(D62,Additional_Supply_Catalog!$A:$K,8,FALSE())),"")</f>
        <v>1000</v>
      </c>
      <c r="R62" s="1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938</v>
      </c>
      <c r="B63" s="96" t="s">
        <v>901</v>
      </c>
      <c r="C63" s="96" t="s">
        <v>502</v>
      </c>
      <c r="D63" s="96" t="s">
        <v>500</v>
      </c>
      <c r="E63" s="96" t="s">
        <v>11</v>
      </c>
      <c r="F63" s="97" t="n">
        <v>2.5</v>
      </c>
      <c r="G63" s="96" t="s">
        <v>337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1" t="n">
        <f aca="false">IFERROR(IF(LEFT(D63,1)="K",VLOOKUP(D63,Kit_Catalog!$A:$K,8,FALSE()),VLOOKUP(D63,Additional_Supply_Catalog!$A:$K,7,FALSE())),"")</f>
        <v>356.71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938</v>
      </c>
      <c r="B64" s="96" t="s">
        <v>901</v>
      </c>
      <c r="C64" s="96" t="s">
        <v>922</v>
      </c>
      <c r="D64" s="96" t="s">
        <v>339</v>
      </c>
      <c r="E64" s="96" t="s">
        <v>11</v>
      </c>
      <c r="F64" s="97" t="n">
        <v>6</v>
      </c>
      <c r="G64" s="96" t="s">
        <v>337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943</v>
      </c>
      <c r="P64" s="1" t="n">
        <f aca="false">IFERROR(IF(LEFT(D64,1)="K",VLOOKUP(D64,Kit_Catalog!$A:$K,8,FALSE()),VLOOKUP(D64,Additional_Supply_Catalog!$A:$K,7,FALSE())),"")</f>
        <v>19.02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938</v>
      </c>
      <c r="B65" s="96" t="s">
        <v>901</v>
      </c>
      <c r="C65" s="96" t="s">
        <v>940</v>
      </c>
      <c r="D65" s="96"/>
      <c r="E65" s="96" t="s">
        <v>11</v>
      </c>
      <c r="F65" s="97" t="n">
        <v>250</v>
      </c>
      <c r="G65" s="96" t="s">
        <v>397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944</v>
      </c>
      <c r="P65" s="1" t="str">
        <f aca="false">IFERROR(IF(LEFT(D65,1)="K",VLOOKUP(D65,Kit_Catalog!$A:$K,8,FALSE()),VLOOKUP(D65,Additional_Supply_Catalog!$A:$K,7,FALSE())),"")</f>
        <v/>
      </c>
      <c r="Q65" s="1" t="str">
        <f aca="false">IFERROR(IF(LEFT(D65,1)="K",VLOOKUP(D65,Kit_Catalog!$A:$K,7,FALSE()),VLOOKUP(D65,Additional_Supply_Catalog!$A:$K,8,FALSE())),"")</f>
        <v/>
      </c>
      <c r="R65" s="1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938</v>
      </c>
      <c r="B66" s="96" t="s">
        <v>901</v>
      </c>
      <c r="C66" s="96" t="s">
        <v>945</v>
      </c>
      <c r="D66" s="96" t="s">
        <v>604</v>
      </c>
      <c r="E66" s="96" t="s">
        <v>11</v>
      </c>
      <c r="F66" s="97" t="n">
        <v>0.25</v>
      </c>
      <c r="G66" s="96" t="s">
        <v>397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946</v>
      </c>
      <c r="P66" s="1" t="n">
        <f aca="false">IFERROR(IF(LEFT(D66,1)="K",VLOOKUP(D66,Kit_Catalog!$A:$K,8,FALSE()),VLOOKUP(D66,Additional_Supply_Catalog!$A:$K,7,FALSE())),"")</f>
        <v>0</v>
      </c>
      <c r="Q66" s="1" t="n">
        <f aca="false">IFERROR(IF(LEFT(D66,1)="K",VLOOKUP(D66,Kit_Catalog!$A:$K,7,FALSE()),VLOOKUP(D66,Additional_Supply_Catalog!$A:$K,8,FALSE())),"")</f>
        <v>100</v>
      </c>
      <c r="R66" s="1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938</v>
      </c>
      <c r="B67" s="96" t="s">
        <v>901</v>
      </c>
      <c r="C67" s="96" t="s">
        <v>610</v>
      </c>
      <c r="D67" s="96" t="s">
        <v>609</v>
      </c>
      <c r="E67" s="96" t="s">
        <v>20</v>
      </c>
      <c r="F67" s="97" t="n">
        <v>1</v>
      </c>
      <c r="G67" s="96" t="s">
        <v>571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947</v>
      </c>
      <c r="P67" s="1" t="n">
        <f aca="false">IFERROR(IF(LEFT(D67,1)="K",VLOOKUP(D67,Kit_Catalog!$A:$K,8,FALSE()),VLOOKUP(D67,Additional_Supply_Catalog!$A:$K,7,FALSE())),"")</f>
        <v>0</v>
      </c>
      <c r="Q67" s="1" t="n">
        <f aca="false">IFERROR(IF(LEFT(D67,1)="K",VLOOKUP(D67,Kit_Catalog!$A:$K,7,FALSE()),VLOOKUP(D67,Additional_Supply_Catalog!$A:$K,8,FALSE())),"")</f>
        <v>1</v>
      </c>
      <c r="R67" s="1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938</v>
      </c>
      <c r="B68" s="96" t="s">
        <v>901</v>
      </c>
      <c r="C68" s="96" t="s">
        <v>948</v>
      </c>
      <c r="D68" s="96"/>
      <c r="E68" s="96" t="s">
        <v>20</v>
      </c>
      <c r="F68" s="97" t="n">
        <v>1</v>
      </c>
      <c r="G68" s="96" t="s">
        <v>571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949</v>
      </c>
      <c r="P68" s="1" t="str">
        <f aca="false">IFERROR(IF(LEFT(D68,1)="K",VLOOKUP(D68,Kit_Catalog!$A:$K,8,FALSE()),VLOOKUP(D68,Additional_Supply_Catalog!$A:$K,7,FALSE())),"")</f>
        <v/>
      </c>
      <c r="Q68" s="1" t="str">
        <f aca="false">IFERROR(IF(LEFT(D68,1)="K",VLOOKUP(D68,Kit_Catalog!$A:$K,7,FALSE()),VLOOKUP(D68,Additional_Supply_Catalog!$A:$K,8,FALSE())),"")</f>
        <v/>
      </c>
      <c r="R68" s="1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938</v>
      </c>
      <c r="B69" s="96" t="s">
        <v>901</v>
      </c>
      <c r="C69" s="96" t="s">
        <v>950</v>
      </c>
      <c r="D69" s="96" t="s">
        <v>584</v>
      </c>
      <c r="E69" s="96" t="s">
        <v>20</v>
      </c>
      <c r="F69" s="97" t="n">
        <v>4</v>
      </c>
      <c r="G69" s="96" t="s">
        <v>548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951</v>
      </c>
      <c r="P69" s="1" t="n">
        <f aca="false">IFERROR(IF(LEFT(D69,1)="K",VLOOKUP(D69,Kit_Catalog!$A:$K,8,FALSE()),VLOOKUP(D69,Additional_Supply_Catalog!$A:$K,7,FALSE())),"")</f>
        <v>19.16</v>
      </c>
      <c r="Q69" s="1" t="n">
        <f aca="false">IFERROR(IF(LEFT(D69,1)="K",VLOOKUP(D69,Kit_Catalog!$A:$K,7,FALSE()),VLOOKUP(D69,Additional_Supply_Catalog!$A:$K,8,FALSE())),"")</f>
        <v>12</v>
      </c>
      <c r="R69" s="1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938</v>
      </c>
      <c r="B70" s="96" t="s">
        <v>901</v>
      </c>
      <c r="C70" s="96" t="s">
        <v>952</v>
      </c>
      <c r="D70" s="96" t="s">
        <v>625</v>
      </c>
      <c r="E70" s="96" t="s">
        <v>11</v>
      </c>
      <c r="F70" s="97" t="n">
        <v>1</v>
      </c>
      <c r="G70" s="96" t="s">
        <v>627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953</v>
      </c>
      <c r="P70" s="1" t="n">
        <f aca="false">IFERROR(IF(LEFT(D70,1)="K",VLOOKUP(D70,Kit_Catalog!$A:$K,8,FALSE()),VLOOKUP(D70,Additional_Supply_Catalog!$A:$K,7,FALSE())),"")</f>
        <v>19.16</v>
      </c>
      <c r="Q70" s="1" t="n">
        <f aca="false">IFERROR(IF(LEFT(D70,1)="K",VLOOKUP(D70,Kit_Catalog!$A:$K,7,FALSE()),VLOOKUP(D70,Additional_Supply_Catalog!$A:$K,8,FALSE())),"")</f>
        <v>12</v>
      </c>
      <c r="R70" s="1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954</v>
      </c>
      <c r="B71" s="96" t="s">
        <v>901</v>
      </c>
      <c r="C71" s="96" t="s">
        <v>955</v>
      </c>
      <c r="D71" s="96" t="s">
        <v>544</v>
      </c>
      <c r="E71" s="96" t="s">
        <v>9</v>
      </c>
      <c r="F71" s="97" t="n">
        <v>1</v>
      </c>
      <c r="G71" s="96" t="s">
        <v>571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1" t="n">
        <f aca="false">IFERROR(IF(LEFT(D71,1)="K",VLOOKUP(D71,Kit_Catalog!$A:$K,8,FALSE()),VLOOKUP(D71,Additional_Supply_Catalog!$A:$K,7,FALSE())),"")</f>
        <v>44.89</v>
      </c>
      <c r="Q71" s="1" t="n">
        <f aca="false">IFERROR(IF(LEFT(D71,1)="K",VLOOKUP(D71,Kit_Catalog!$A:$K,7,FALSE()),VLOOKUP(D71,Additional_Supply_Catalog!$A:$K,8,FALSE())),"")</f>
        <v>250</v>
      </c>
      <c r="R71" s="1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954</v>
      </c>
      <c r="B72" s="85" t="s">
        <v>901</v>
      </c>
      <c r="C72" s="85" t="s">
        <v>596</v>
      </c>
      <c r="D72" s="85" t="s">
        <v>595</v>
      </c>
      <c r="E72" s="85" t="s">
        <v>9</v>
      </c>
      <c r="F72" s="86" t="n">
        <v>1</v>
      </c>
      <c r="G72" s="85" t="s">
        <v>373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1</v>
      </c>
      <c r="R72" s="1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954</v>
      </c>
      <c r="B73" s="85" t="s">
        <v>901</v>
      </c>
      <c r="C73" s="85" t="s">
        <v>956</v>
      </c>
      <c r="D73" s="85" t="s">
        <v>510</v>
      </c>
      <c r="E73" s="85" t="s">
        <v>9</v>
      </c>
      <c r="F73" s="86" t="n">
        <v>0.6</v>
      </c>
      <c r="G73" s="85" t="s">
        <v>337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1" t="n">
        <f aca="false">IFERROR(IF(LEFT(D73,1)="K",VLOOKUP(D73,Kit_Catalog!$A:$K,8,FALSE()),VLOOKUP(D73,Additional_Supply_Catalog!$A:$K,7,FALSE())),"")</f>
        <v>263.34</v>
      </c>
      <c r="Q73" s="1" t="n">
        <f aca="false">IFERROR(IF(LEFT(D73,1)="K",VLOOKUP(D73,Kit_Catalog!$A:$K,7,FALSE()),VLOOKUP(D73,Additional_Supply_Catalog!$A:$K,8,FALSE())),"")</f>
        <v>100</v>
      </c>
      <c r="R73" s="1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957</v>
      </c>
      <c r="B74" s="85" t="s">
        <v>896</v>
      </c>
      <c r="C74" s="85" t="s">
        <v>958</v>
      </c>
      <c r="D74" s="85"/>
      <c r="E74" s="85" t="s">
        <v>898</v>
      </c>
      <c r="F74" s="86"/>
      <c r="G74" s="85" t="s">
        <v>337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959</v>
      </c>
    </row>
    <row r="75" customFormat="false" ht="42.75" hidden="false" customHeight="true" outlineLevel="0" collapsed="false">
      <c r="A75" s="85" t="s">
        <v>957</v>
      </c>
      <c r="B75" s="85" t="s">
        <v>896</v>
      </c>
      <c r="C75" s="85" t="s">
        <v>960</v>
      </c>
      <c r="D75" s="85"/>
      <c r="E75" s="85" t="s">
        <v>898</v>
      </c>
      <c r="F75" s="88"/>
      <c r="G75" s="85" t="s">
        <v>337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961</v>
      </c>
    </row>
    <row r="76" customFormat="false" ht="32.25" hidden="false" customHeight="true" outlineLevel="0" collapsed="false">
      <c r="A76" s="85" t="s">
        <v>957</v>
      </c>
      <c r="B76" s="85" t="s">
        <v>896</v>
      </c>
      <c r="C76" s="85" t="s">
        <v>962</v>
      </c>
      <c r="D76" s="85"/>
      <c r="E76" s="85" t="s">
        <v>898</v>
      </c>
      <c r="F76" s="88"/>
      <c r="G76" s="85" t="s">
        <v>337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963</v>
      </c>
    </row>
    <row r="77" customFormat="false" ht="32.25" hidden="false" customHeight="true" outlineLevel="0" collapsed="false">
      <c r="A77" s="85" t="s">
        <v>957</v>
      </c>
      <c r="B77" s="85" t="s">
        <v>896</v>
      </c>
      <c r="C77" s="85" t="s">
        <v>964</v>
      </c>
      <c r="D77" s="85"/>
      <c r="E77" s="85" t="s">
        <v>898</v>
      </c>
      <c r="F77" s="88"/>
      <c r="G77" s="85" t="s">
        <v>337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965</v>
      </c>
    </row>
    <row r="78" customFormat="false" ht="32.25" hidden="false" customHeight="true" outlineLevel="0" collapsed="false">
      <c r="A78" s="85" t="s">
        <v>957</v>
      </c>
      <c r="B78" s="85" t="s">
        <v>896</v>
      </c>
      <c r="C78" s="85" t="s">
        <v>966</v>
      </c>
      <c r="D78" s="85"/>
      <c r="E78" s="85" t="s">
        <v>898</v>
      </c>
      <c r="F78" s="88"/>
      <c r="G78" s="85" t="s">
        <v>337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967</v>
      </c>
    </row>
    <row r="79" customFormat="false" ht="32.25" hidden="false" customHeight="true" outlineLevel="0" collapsed="false">
      <c r="A79" s="85" t="s">
        <v>957</v>
      </c>
      <c r="B79" s="85" t="s">
        <v>901</v>
      </c>
      <c r="C79" s="85" t="s">
        <v>311</v>
      </c>
      <c r="D79" s="85" t="s">
        <v>310</v>
      </c>
      <c r="E79" s="85" t="s">
        <v>36</v>
      </c>
      <c r="F79" s="88" t="n">
        <v>1</v>
      </c>
      <c r="G79" s="85" t="s">
        <v>373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968</v>
      </c>
      <c r="P79" s="1" t="n">
        <f aca="false">IFERROR(IF(LEFT(D79,1)="K",VLOOKUP(D79,Kit_Catalog!$A:$K,8,FALSE()),VLOOKUP(D79,Additional_Supply_Catalog!$A:$K,7,FALSE())),"")</f>
        <v>800</v>
      </c>
      <c r="Q79" s="1" t="n">
        <f aca="false">IFERROR(IF(LEFT(D79,1)="K",VLOOKUP(D79,Kit_Catalog!$A:$K,7,FALSE()),VLOOKUP(D79,Additional_Supply_Catalog!$A:$K,8,FALSE())),"")</f>
        <v>48</v>
      </c>
      <c r="R79" s="1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957</v>
      </c>
      <c r="B80" s="85" t="s">
        <v>901</v>
      </c>
      <c r="C80" s="85" t="s">
        <v>969</v>
      </c>
      <c r="D80" s="85" t="s">
        <v>288</v>
      </c>
      <c r="E80" s="85" t="s">
        <v>36</v>
      </c>
      <c r="F80" s="88" t="n">
        <v>1</v>
      </c>
      <c r="G80" s="85" t="s">
        <v>373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970</v>
      </c>
      <c r="P80" s="1" t="n">
        <f aca="false">IFERROR(IF(LEFT(D80,1)="K",VLOOKUP(D80,Kit_Catalog!$A:$K,8,FALSE()),VLOOKUP(D80,Additional_Supply_Catalog!$A:$K,7,FALSE())),"")</f>
        <v>10200</v>
      </c>
      <c r="Q80" s="1" t="n">
        <f aca="false">IFERROR(IF(LEFT(D80,1)="K",VLOOKUP(D80,Kit_Catalog!$A:$K,7,FALSE()),VLOOKUP(D80,Additional_Supply_Catalog!$A:$K,8,FALSE())),"")</f>
        <v>16</v>
      </c>
      <c r="R80" s="1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957</v>
      </c>
      <c r="B81" s="85" t="s">
        <v>901</v>
      </c>
      <c r="C81" s="85" t="s">
        <v>298</v>
      </c>
      <c r="D81" s="85" t="s">
        <v>297</v>
      </c>
      <c r="E81" s="85" t="s">
        <v>37</v>
      </c>
      <c r="F81" s="88" t="n">
        <v>1</v>
      </c>
      <c r="G81" s="85" t="s">
        <v>971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972</v>
      </c>
      <c r="P81" s="1" t="n">
        <f aca="false">IFERROR(IF(LEFT(D81,1)="K",VLOOKUP(D81,Kit_Catalog!$A:$K,8,FALSE()),VLOOKUP(D81,Additional_Supply_Catalog!$A:$K,7,FALSE())),"")</f>
        <v>1250</v>
      </c>
      <c r="Q81" s="1" t="n">
        <f aca="false">IFERROR(IF(LEFT(D81,1)="K",VLOOKUP(D81,Kit_Catalog!$A:$K,7,FALSE()),VLOOKUP(D81,Additional_Supply_Catalog!$A:$K,8,FALSE())),"")</f>
        <v>16</v>
      </c>
      <c r="R81" s="1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957</v>
      </c>
      <c r="B82" s="85" t="s">
        <v>901</v>
      </c>
      <c r="C82" s="85" t="s">
        <v>316</v>
      </c>
      <c r="D82" s="85" t="s">
        <v>315</v>
      </c>
      <c r="E82" s="85" t="s">
        <v>37</v>
      </c>
      <c r="F82" s="88" t="n">
        <v>1</v>
      </c>
      <c r="G82" s="85" t="s">
        <v>971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973</v>
      </c>
      <c r="P82" s="1" t="n">
        <f aca="false">IFERROR(IF(LEFT(D82,1)="K",VLOOKUP(D82,Kit_Catalog!$A:$K,8,FALSE()),VLOOKUP(D82,Additional_Supply_Catalog!$A:$K,7,FALSE())),"")</f>
        <v>0</v>
      </c>
      <c r="Q82" s="1" t="n">
        <f aca="false">IFERROR(IF(LEFT(D82,1)="K",VLOOKUP(D82,Kit_Catalog!$A:$K,7,FALSE()),VLOOKUP(D82,Additional_Supply_Catalog!$A:$K,8,FALSE())),"")</f>
        <v>4</v>
      </c>
      <c r="R82" s="1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957</v>
      </c>
      <c r="B83" s="85" t="s">
        <v>901</v>
      </c>
      <c r="C83" s="85" t="s">
        <v>974</v>
      </c>
      <c r="D83" s="85" t="s">
        <v>517</v>
      </c>
      <c r="E83" s="85" t="s">
        <v>36</v>
      </c>
      <c r="F83" s="88" t="n">
        <v>60</v>
      </c>
      <c r="G83" s="85" t="s">
        <v>397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975</v>
      </c>
      <c r="P83" s="1" t="n">
        <f aca="false">IFERROR(IF(LEFT(D83,1)="K",VLOOKUP(D83,Kit_Catalog!$A:$K,8,FALSE()),VLOOKUP(D83,Additional_Supply_Catalog!$A:$K,7,FALSE())),"")</f>
        <v>101.25</v>
      </c>
      <c r="Q83" s="1" t="n">
        <f aca="false">IFERROR(IF(LEFT(D83,1)="K",VLOOKUP(D83,Kit_Catalog!$A:$K,7,FALSE()),VLOOKUP(D83,Additional_Supply_Catalog!$A:$K,8,FALSE())),"")</f>
        <v>25</v>
      </c>
      <c r="R83" s="1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957</v>
      </c>
      <c r="B84" s="85" t="s">
        <v>901</v>
      </c>
      <c r="C84" s="85" t="s">
        <v>976</v>
      </c>
      <c r="D84" s="85" t="s">
        <v>333</v>
      </c>
      <c r="E84" s="85" t="s">
        <v>36</v>
      </c>
      <c r="F84" s="88" t="n">
        <v>1.5</v>
      </c>
      <c r="G84" s="85" t="s">
        <v>337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977</v>
      </c>
      <c r="P84" s="1" t="n">
        <f aca="false">IFERROR(IF(LEFT(D84,1)="K",VLOOKUP(D84,Kit_Catalog!$A:$K,8,FALSE()),VLOOKUP(D84,Additional_Supply_Catalog!$A:$K,7,FALSE())),"")</f>
        <v>13.86</v>
      </c>
      <c r="Q84" s="1" t="n">
        <f aca="false">IFERROR(IF(LEFT(D84,1)="K",VLOOKUP(D84,Kit_Catalog!$A:$K,7,FALSE()),VLOOKUP(D84,Additional_Supply_Catalog!$A:$K,8,FALSE())),"")</f>
        <v>500</v>
      </c>
      <c r="R84" s="1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957</v>
      </c>
      <c r="B85" s="85" t="s">
        <v>901</v>
      </c>
      <c r="C85" s="85" t="s">
        <v>978</v>
      </c>
      <c r="D85" s="85" t="s">
        <v>523</v>
      </c>
      <c r="E85" s="85" t="s">
        <v>37</v>
      </c>
      <c r="F85" s="88" t="n">
        <v>0.5</v>
      </c>
      <c r="G85" s="85" t="s">
        <v>337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979</v>
      </c>
      <c r="P85" s="1" t="n">
        <f aca="false">IFERROR(IF(LEFT(D85,1)="K",VLOOKUP(D85,Kit_Catalog!$A:$K,8,FALSE()),VLOOKUP(D85,Additional_Supply_Catalog!$A:$K,7,FALSE())),"")</f>
        <v>62.79</v>
      </c>
      <c r="Q85" s="1" t="n">
        <f aca="false">IFERROR(IF(LEFT(D85,1)="K",VLOOKUP(D85,Kit_Catalog!$A:$K,7,FALSE()),VLOOKUP(D85,Additional_Supply_Catalog!$A:$K,8,FALSE())),"")</f>
        <v>100</v>
      </c>
      <c r="R85" s="1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957</v>
      </c>
      <c r="B86" s="85" t="s">
        <v>901</v>
      </c>
      <c r="C86" s="85" t="s">
        <v>545</v>
      </c>
      <c r="D86" s="85" t="s">
        <v>544</v>
      </c>
      <c r="E86" s="85" t="s">
        <v>36</v>
      </c>
      <c r="F86" s="88" t="n">
        <v>1</v>
      </c>
      <c r="G86" s="85" t="s">
        <v>548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980</v>
      </c>
      <c r="P86" s="1" t="n">
        <f aca="false">IFERROR(IF(LEFT(D86,1)="K",VLOOKUP(D86,Kit_Catalog!$A:$K,8,FALSE()),VLOOKUP(D86,Additional_Supply_Catalog!$A:$K,7,FALSE())),"")</f>
        <v>44.89</v>
      </c>
      <c r="Q86" s="1" t="n">
        <f aca="false">IFERROR(IF(LEFT(D86,1)="K",VLOOKUP(D86,Kit_Catalog!$A:$K,7,FALSE()),VLOOKUP(D86,Additional_Supply_Catalog!$A:$K,8,FALSE())),"")</f>
        <v>250</v>
      </c>
      <c r="R86" s="1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957</v>
      </c>
      <c r="B87" s="85" t="s">
        <v>901</v>
      </c>
      <c r="C87" s="85" t="s">
        <v>558</v>
      </c>
      <c r="D87" s="85" t="s">
        <v>557</v>
      </c>
      <c r="E87" s="85" t="s">
        <v>36</v>
      </c>
      <c r="F87" s="88" t="n">
        <v>0.125</v>
      </c>
      <c r="G87" s="85" t="s">
        <v>562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981</v>
      </c>
      <c r="P87" s="1" t="n">
        <f aca="false">IFERROR(IF(LEFT(D87,1)="K",VLOOKUP(D87,Kit_Catalog!$A:$K,8,FALSE()),VLOOKUP(D87,Additional_Supply_Catalog!$A:$K,7,FALSE())),"")</f>
        <v>97.55</v>
      </c>
      <c r="Q87" s="1" t="n">
        <f aca="false">IFERROR(IF(LEFT(D87,1)="K",VLOOKUP(D87,Kit_Catalog!$A:$K,7,FALSE()),VLOOKUP(D87,Additional_Supply_Catalog!$A:$K,8,FALSE())),"")</f>
        <v>125</v>
      </c>
      <c r="R87" s="1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957</v>
      </c>
      <c r="B88" s="85" t="s">
        <v>901</v>
      </c>
      <c r="C88" s="85" t="s">
        <v>982</v>
      </c>
      <c r="D88" s="85" t="s">
        <v>536</v>
      </c>
      <c r="E88" s="85" t="s">
        <v>36</v>
      </c>
      <c r="F88" s="88" t="n">
        <v>6</v>
      </c>
      <c r="G88" s="85" t="s">
        <v>534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0.0187916666666667</v>
      </c>
      <c r="M88" s="105" t="n">
        <f aca="false">IFERROR(F88*L88,"")</f>
        <v>0.11275</v>
      </c>
      <c r="N88" s="106" t="n">
        <f aca="false">IFERROR(J88*L88,"")</f>
        <v>0</v>
      </c>
      <c r="O88" s="94" t="s">
        <v>983</v>
      </c>
      <c r="P88" s="1" t="n">
        <f aca="false">IFERROR(IF(LEFT(D88,1)="K",VLOOKUP(D88,Kit_Catalog!$A:$K,8,FALSE()),VLOOKUP(D88,Additional_Supply_Catalog!$A:$K,7,FALSE())),"")</f>
        <v>180.4</v>
      </c>
      <c r="Q88" s="1" t="n">
        <f aca="false">IFERROR(IF(LEFT(D88,1)="K",VLOOKUP(D88,Kit_Catalog!$A:$K,7,FALSE()),VLOOKUP(D88,Additional_Supply_Catalog!$A:$K,8,FALSE())),"")</f>
        <v>9600</v>
      </c>
      <c r="R88" s="1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1" t="s">
        <v>938</v>
      </c>
      <c r="B103" s="1" t="s">
        <v>901</v>
      </c>
      <c r="C103" s="1" t="s">
        <v>984</v>
      </c>
      <c r="D103" s="1" t="s">
        <v>428</v>
      </c>
      <c r="E103" s="1" t="s">
        <v>11</v>
      </c>
      <c r="F103" s="1" t="n">
        <v>5</v>
      </c>
      <c r="G103" s="1" t="s">
        <v>397</v>
      </c>
      <c r="H103" s="107" t="n">
        <f aca="false">Inputs!$B$20</f>
        <v>0.1</v>
      </c>
      <c r="I103" s="1" t="n">
        <f aca="false">VLOOKUP(E103,Inputs!$D$5:$E$23,2,FALSE())</f>
        <v>6</v>
      </c>
      <c r="J103" s="1" t="n">
        <f aca="false">F103*I103*(1+H103)</f>
        <v>33</v>
      </c>
      <c r="K103" s="1" t="n">
        <f aca="false">IF(ISNUMBER(MATCH(G103,{"tube","each","plate","vial","kit","bottle","aliquot","strainer","cap","lane-rxn","tip","strip","lane","channel","library","sample"},0)),ROUNDUP(J103,0),ROUND(J103,2))</f>
        <v>33</v>
      </c>
      <c r="L103" s="1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1" t="n">
        <f aca="false">IFERROR(F103*L103,"")</f>
        <v>129.25</v>
      </c>
      <c r="N103" s="1" t="n">
        <f aca="false">IFERROR(J103*L103,"")</f>
        <v>853.05</v>
      </c>
      <c r="O103" s="1" t="s">
        <v>985</v>
      </c>
      <c r="P103" s="1" t="n">
        <f aca="false">IFERROR(IF(LEFT(D103,1)="K",VLOOKUP(D103,Kit_Catalog!$A:$K,8,FALSE()),VLOOKUP(D103,Additional_Supply_Catalog!$A:$K,7,FALSE())),"")</f>
        <v>517</v>
      </c>
      <c r="Q103" s="1" t="n">
        <f aca="false">IFERROR(IF(LEFT(D103,1)="K",VLOOKUP(D103,Kit_Catalog!$A:$K,7,FALSE()),VLOOKUP(D103,Additional_Supply_Catalog!$A:$K,8,FALSE())),"")</f>
        <v>20</v>
      </c>
      <c r="R103" s="1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1" t="s">
        <v>938</v>
      </c>
      <c r="B104" s="1" t="s">
        <v>901</v>
      </c>
      <c r="C104" s="1" t="s">
        <v>468</v>
      </c>
      <c r="D104" s="1" t="s">
        <v>466</v>
      </c>
      <c r="E104" s="1" t="s">
        <v>11</v>
      </c>
      <c r="F104" s="1" t="n">
        <v>0.04</v>
      </c>
      <c r="G104" s="1" t="s">
        <v>404</v>
      </c>
      <c r="H104" s="107" t="n">
        <f aca="false">Inputs!$B$20</f>
        <v>0.1</v>
      </c>
      <c r="I104" s="1" t="n">
        <f aca="false">VLOOKUP(E104,Inputs!$D$5:$E$23,2,FALSE())</f>
        <v>6</v>
      </c>
      <c r="J104" s="1" t="n">
        <f aca="false">F104*I104*(1+H104)</f>
        <v>0.264</v>
      </c>
      <c r="K104" s="1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1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1" t="n">
        <f aca="false">IFERROR(F104*L104,"")</f>
        <v>0.16608</v>
      </c>
      <c r="N104" s="1" t="n">
        <f aca="false">IFERROR(J104*L104,"")</f>
        <v>1.096128</v>
      </c>
      <c r="O104" s="1" t="s">
        <v>986</v>
      </c>
      <c r="P104" s="1" t="n">
        <f aca="false">IFERROR(IF(LEFT(D104,1)="K",VLOOKUP(D104,Kit_Catalog!$A:$K,8,FALSE()),VLOOKUP(D104,Additional_Supply_Catalog!$A:$K,7,FALSE())),"")</f>
        <v>103.8</v>
      </c>
      <c r="Q104" s="1" t="n">
        <f aca="false">IFERROR(IF(LEFT(D104,1)="K",VLOOKUP(D104,Kit_Catalog!$A:$K,7,FALSE()),VLOOKUP(D104,Additional_Supply_Catalog!$A:$K,8,FALSE())),"")</f>
        <v>25</v>
      </c>
      <c r="R104" s="1" t="str">
        <f aca="false">IFERROR(IF(LEFT(D104,1)="K","rxn",VLOOKUP(D104,Additional_Supply_Catalog!$A:$K,9,FALSE())),"")</f>
        <v>g</v>
      </c>
    </row>
    <row r="105" customFormat="false" ht="14.25" hidden="false" customHeight="true" outlineLevel="0" collapsed="false">
      <c r="A105" s="1" t="s">
        <v>925</v>
      </c>
      <c r="B105" s="1" t="s">
        <v>901</v>
      </c>
      <c r="C105" s="1" t="s">
        <v>922</v>
      </c>
      <c r="D105" s="1" t="s">
        <v>339</v>
      </c>
      <c r="E105" s="1" t="s">
        <v>13</v>
      </c>
      <c r="F105" s="1" t="n">
        <v>9</v>
      </c>
      <c r="G105" s="1" t="s">
        <v>337</v>
      </c>
      <c r="H105" s="107" t="n">
        <f aca="false">Inputs!$B$20</f>
        <v>0.1</v>
      </c>
      <c r="I105" s="1" t="n">
        <f aca="false">VLOOKUP(E105,Inputs!$D$5:$E$23,2,FALSE())</f>
        <v>1</v>
      </c>
      <c r="J105" s="1" t="n">
        <f aca="false">F105*I105*(1+H105)</f>
        <v>9.9</v>
      </c>
      <c r="K105" s="1" t="n">
        <f aca="false">IF(ISNUMBER(MATCH(G105,{"tube","each","plate","vial","kit","bottle","aliquot","strainer","cap","lane-rxn","tip","strip","lane","channel","library","sample"},0)),ROUNDUP(J105,0),ROUND(J105,2))</f>
        <v>9.9</v>
      </c>
      <c r="L105" s="1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1" t="n">
        <f aca="false">IFERROR(F105*L105,"")</f>
        <v>0.34236</v>
      </c>
      <c r="N105" s="1" t="n">
        <f aca="false">IFERROR(J105*L105,"")</f>
        <v>0.376596</v>
      </c>
      <c r="O105" s="1" t="s">
        <v>987</v>
      </c>
      <c r="P105" s="1" t="n">
        <f aca="false">IFERROR(IF(LEFT(D105,1)="K",VLOOKUP(D105,Kit_Catalog!$A:$K,8,FALSE()),VLOOKUP(D105,Additional_Supply_Catalog!$A:$K,7,FALSE())),"")</f>
        <v>19.02</v>
      </c>
      <c r="Q105" s="1" t="n">
        <f aca="false">IFERROR(IF(LEFT(D105,1)="K",VLOOKUP(D105,Kit_Catalog!$A:$K,7,FALSE()),VLOOKUP(D105,Additional_Supply_Catalog!$A:$K,8,FALSE())),"")</f>
        <v>500</v>
      </c>
      <c r="R105" s="1" t="str">
        <f aca="false">IFERROR(IF(LEFT(D105,1)="K","rxn",VLOOKUP(D105,Additional_Supply_Catalog!$A:$K,9,FALSE())),"")</f>
        <v>mL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15" hidden="false" customHeight="true" outlineLevel="0" collapsed="false">
      <c r="A2" s="85" t="s">
        <v>988</v>
      </c>
      <c r="B2" s="85" t="s">
        <v>901</v>
      </c>
      <c r="C2" s="85" t="s">
        <v>174</v>
      </c>
      <c r="D2" s="85" t="s">
        <v>172</v>
      </c>
      <c r="E2" s="85" t="s">
        <v>22</v>
      </c>
      <c r="F2" s="86" t="n">
        <v>1</v>
      </c>
      <c r="G2" s="85" t="s">
        <v>971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989</v>
      </c>
      <c r="P2" s="1" t="n">
        <f aca="false">IFERROR(IF(LEFT(D2,1)="K",VLOOKUP(D2,Kit_Catalog!$A:$K,8,FALSE()),VLOOKUP(D2,Additional_Supply_Catalog!$A:$K,7,FALSE())),"")</f>
        <v>23670</v>
      </c>
      <c r="Q2" s="1" t="n">
        <f aca="false">IFERROR(IF(LEFT(D2,1)="K",VLOOKUP(D2,Kit_Catalog!$A:$K,7,FALSE()),VLOOKUP(D2,Additional_Supply_Catalog!$A:$K,8,FALSE())),"")</f>
        <v>16</v>
      </c>
      <c r="R2" s="1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988</v>
      </c>
      <c r="B3" s="85" t="s">
        <v>901</v>
      </c>
      <c r="C3" s="85" t="s">
        <v>183</v>
      </c>
      <c r="D3" s="85" t="s">
        <v>182</v>
      </c>
      <c r="E3" s="85" t="s">
        <v>22</v>
      </c>
      <c r="F3" s="86" t="n">
        <v>1</v>
      </c>
      <c r="G3" s="85" t="s">
        <v>971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989</v>
      </c>
      <c r="P3" s="1" t="n">
        <f aca="false">IFERROR(IF(LEFT(D3,1)="K",VLOOKUP(D3,Kit_Catalog!$A:$K,8,FALSE()),VLOOKUP(D3,Additional_Supply_Catalog!$A:$K,7,FALSE())),"")</f>
        <v>1250</v>
      </c>
      <c r="Q3" s="1" t="n">
        <f aca="false">IFERROR(IF(LEFT(D3,1)="K",VLOOKUP(D3,Kit_Catalog!$A:$K,7,FALSE()),VLOOKUP(D3,Additional_Supply_Catalog!$A:$K,8,FALSE())),"")</f>
        <v>16</v>
      </c>
      <c r="R3" s="1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988</v>
      </c>
      <c r="B4" s="85" t="s">
        <v>901</v>
      </c>
      <c r="C4" s="85" t="s">
        <v>354</v>
      </c>
      <c r="D4" s="85" t="s">
        <v>353</v>
      </c>
      <c r="E4" s="85" t="s">
        <v>22</v>
      </c>
      <c r="F4" s="86" t="n">
        <v>0.179</v>
      </c>
      <c r="G4" s="85" t="s">
        <v>337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990</v>
      </c>
      <c r="P4" s="1" t="n">
        <f aca="false">IFERROR(IF(LEFT(D4,1)="K",VLOOKUP(D4,Kit_Catalog!$A:$K,8,FALSE()),VLOOKUP(D4,Additional_Supply_Catalog!$A:$K,7,FALSE())),"")</f>
        <v>49.9</v>
      </c>
      <c r="Q4" s="1" t="n">
        <f aca="false">IFERROR(IF(LEFT(D4,1)="K",VLOOKUP(D4,Kit_Catalog!$A:$K,7,FALSE()),VLOOKUP(D4,Additional_Supply_Catalog!$A:$K,8,FALSE())),"")</f>
        <v>250</v>
      </c>
      <c r="R4" s="1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988</v>
      </c>
      <c r="B5" s="85" t="s">
        <v>901</v>
      </c>
      <c r="C5" s="85" t="s">
        <v>991</v>
      </c>
      <c r="D5" s="85" t="s">
        <v>346</v>
      </c>
      <c r="E5" s="85" t="s">
        <v>22</v>
      </c>
      <c r="F5" s="86" t="n">
        <v>1.3</v>
      </c>
      <c r="G5" s="85" t="s">
        <v>337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990</v>
      </c>
      <c r="P5" s="1" t="n">
        <f aca="false">IFERROR(IF(LEFT(D5,1)="K",VLOOKUP(D5,Kit_Catalog!$A:$K,8,FALSE()),VLOOKUP(D5,Additional_Supply_Catalog!$A:$K,7,FALSE())),"")</f>
        <v>109</v>
      </c>
      <c r="Q5" s="1" t="n">
        <f aca="false">IFERROR(IF(LEFT(D5,1)="K",VLOOKUP(D5,Kit_Catalog!$A:$K,7,FALSE()),VLOOKUP(D5,Additional_Supply_Catalog!$A:$K,8,FALSE())),"")</f>
        <v>500</v>
      </c>
      <c r="R5" s="1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988</v>
      </c>
      <c r="B6" s="85" t="s">
        <v>901</v>
      </c>
      <c r="C6" s="85" t="s">
        <v>992</v>
      </c>
      <c r="D6" s="85" t="s">
        <v>360</v>
      </c>
      <c r="E6" s="85" t="s">
        <v>22</v>
      </c>
      <c r="F6" s="86" t="n">
        <v>0.13</v>
      </c>
      <c r="G6" s="85" t="s">
        <v>337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990</v>
      </c>
      <c r="P6" s="1" t="n">
        <f aca="false">IFERROR(IF(LEFT(D6,1)="K",VLOOKUP(D6,Kit_Catalog!$A:$K,8,FALSE()),VLOOKUP(D6,Additional_Supply_Catalog!$A:$K,7,FALSE())),"")</f>
        <v>1635.9</v>
      </c>
      <c r="Q6" s="1" t="n">
        <f aca="false">IFERROR(IF(LEFT(D6,1)="K",VLOOKUP(D6,Kit_Catalog!$A:$K,7,FALSE()),VLOOKUP(D6,Additional_Supply_Catalog!$A:$K,8,FALSE())),"")</f>
        <v>60</v>
      </c>
      <c r="R6" s="1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988</v>
      </c>
      <c r="B7" s="85" t="s">
        <v>901</v>
      </c>
      <c r="C7" s="85" t="s">
        <v>993</v>
      </c>
      <c r="D7" s="85" t="s">
        <v>557</v>
      </c>
      <c r="E7" s="85" t="s">
        <v>22</v>
      </c>
      <c r="F7" s="86" t="n">
        <v>0.125</v>
      </c>
      <c r="G7" s="85" t="s">
        <v>562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994</v>
      </c>
      <c r="P7" s="1" t="n">
        <f aca="false">IFERROR(IF(LEFT(D7,1)="K",VLOOKUP(D7,Kit_Catalog!$A:$K,8,FALSE()),VLOOKUP(D7,Additional_Supply_Catalog!$A:$K,7,FALSE())),"")</f>
        <v>97.55</v>
      </c>
      <c r="Q7" s="1" t="n">
        <f aca="false">IFERROR(IF(LEFT(D7,1)="K",VLOOKUP(D7,Kit_Catalog!$A:$K,7,FALSE()),VLOOKUP(D7,Additional_Supply_Catalog!$A:$K,8,FALSE())),"")</f>
        <v>125</v>
      </c>
      <c r="R7" s="1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988</v>
      </c>
      <c r="B8" s="85" t="s">
        <v>901</v>
      </c>
      <c r="C8" s="85" t="s">
        <v>995</v>
      </c>
      <c r="D8" s="85" t="s">
        <v>529</v>
      </c>
      <c r="E8" s="85" t="s">
        <v>22</v>
      </c>
      <c r="F8" s="86" t="n">
        <v>1</v>
      </c>
      <c r="G8" s="85" t="s">
        <v>534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8.8</v>
      </c>
      <c r="K8" s="90" t="n">
        <f aca="false">IF(ISNUMBER(MATCH(G8,{"tube","each","plate","vial","kit","bottle","aliquot","strainer","cap","lane-rxn","tip","strip","lane","channel","library","sample"},0)),ROUNDUP(J8,0),ROUND(J8,2))</f>
        <v>9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0.03041015625</v>
      </c>
      <c r="M8" s="92" t="n">
        <f aca="false">IFERROR(F8*L8,"")</f>
        <v>0.03041015625</v>
      </c>
      <c r="N8" s="93" t="n">
        <f aca="false">IFERROR(J8*L8,"")</f>
        <v>0.267609375</v>
      </c>
      <c r="O8" s="94" t="s">
        <v>996</v>
      </c>
      <c r="P8" s="1" t="n">
        <f aca="false">IFERROR(IF(LEFT(D8,1)="K",VLOOKUP(D8,Kit_Catalog!$A:$K,8,FALSE()),VLOOKUP(D8,Additional_Supply_Catalog!$A:$K,7,FALSE())),"")</f>
        <v>46.71</v>
      </c>
      <c r="Q8" s="1" t="n">
        <f aca="false">IFERROR(IF(LEFT(D8,1)="K",VLOOKUP(D8,Kit_Catalog!$A:$K,7,FALSE()),VLOOKUP(D8,Additional_Supply_Catalog!$A:$K,8,FALSE())),"")</f>
        <v>1536</v>
      </c>
      <c r="R8" s="1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988</v>
      </c>
      <c r="B9" s="85" t="s">
        <v>901</v>
      </c>
      <c r="C9" s="85" t="s">
        <v>997</v>
      </c>
      <c r="D9" s="85" t="s">
        <v>536</v>
      </c>
      <c r="E9" s="85" t="s">
        <v>22</v>
      </c>
      <c r="F9" s="86" t="n">
        <v>2</v>
      </c>
      <c r="G9" s="85" t="s">
        <v>534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17.6</v>
      </c>
      <c r="K9" s="90" t="n">
        <f aca="false">IF(ISNUMBER(MATCH(G9,{"tube","each","plate","vial","kit","bottle","aliquot","strainer","cap","lane-rxn","tip","strip","lane","channel","library","sample"},0)),ROUNDUP(J9,0),ROUND(J9,2))</f>
        <v>18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0.0187916666666667</v>
      </c>
      <c r="M9" s="92" t="n">
        <f aca="false">IFERROR(F9*L9,"")</f>
        <v>0.0375833333333333</v>
      </c>
      <c r="N9" s="93" t="n">
        <f aca="false">IFERROR(J9*L9,"")</f>
        <v>0.330733333333333</v>
      </c>
      <c r="O9" s="94" t="s">
        <v>996</v>
      </c>
      <c r="P9" s="1" t="n">
        <f aca="false">IFERROR(IF(LEFT(D9,1)="K",VLOOKUP(D9,Kit_Catalog!$A:$K,8,FALSE()),VLOOKUP(D9,Additional_Supply_Catalog!$A:$K,7,FALSE())),"")</f>
        <v>180.4</v>
      </c>
      <c r="Q9" s="1" t="n">
        <f aca="false">IFERROR(IF(LEFT(D9,1)="K",VLOOKUP(D9,Kit_Catalog!$A:$K,7,FALSE()),VLOOKUP(D9,Additional_Supply_Catalog!$A:$K,8,FALSE())),"")</f>
        <v>9600</v>
      </c>
      <c r="R9" s="1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988</v>
      </c>
      <c r="B10" s="85" t="s">
        <v>901</v>
      </c>
      <c r="C10" s="85" t="s">
        <v>998</v>
      </c>
      <c r="D10" s="85" t="s">
        <v>540</v>
      </c>
      <c r="E10" s="85" t="s">
        <v>22</v>
      </c>
      <c r="F10" s="86" t="n">
        <v>2</v>
      </c>
      <c r="G10" s="85" t="s">
        <v>534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17.6</v>
      </c>
      <c r="K10" s="90" t="n">
        <f aca="false">IF(ISNUMBER(MATCH(G10,{"tube","each","plate","vial","kit","bottle","aliquot","strainer","cap","lane-rxn","tip","strip","lane","channel","library","sample"},0)),ROUNDUP(J10,0),ROUND(J10,2))</f>
        <v>18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0.0187916666666667</v>
      </c>
      <c r="M10" s="92" t="n">
        <f aca="false">IFERROR(F10*L10,"")</f>
        <v>0.0375833333333333</v>
      </c>
      <c r="N10" s="93" t="n">
        <f aca="false">IFERROR(J10*L10,"")</f>
        <v>0.330733333333333</v>
      </c>
      <c r="O10" s="94" t="s">
        <v>996</v>
      </c>
      <c r="P10" s="1" t="n">
        <f aca="false">IFERROR(IF(LEFT(D10,1)="K",VLOOKUP(D10,Kit_Catalog!$A:$K,8,FALSE()),VLOOKUP(D10,Additional_Supply_Catalog!$A:$K,7,FALSE())),"")</f>
        <v>180.4</v>
      </c>
      <c r="Q10" s="1" t="n">
        <f aca="false">IFERROR(IF(LEFT(D10,1)="K",VLOOKUP(D10,Kit_Catalog!$A:$K,7,FALSE()),VLOOKUP(D10,Additional_Supply_Catalog!$A:$K,8,FALSE())),"")</f>
        <v>9600</v>
      </c>
      <c r="R10" s="1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988</v>
      </c>
      <c r="B11" s="85" t="s">
        <v>901</v>
      </c>
      <c r="C11" s="85" t="s">
        <v>999</v>
      </c>
      <c r="D11" s="85" t="s">
        <v>544</v>
      </c>
      <c r="E11" s="85" t="s">
        <v>22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996</v>
      </c>
      <c r="P11" s="1" t="n">
        <f aca="false">IFERROR(IF(LEFT(D11,1)="K",VLOOKUP(D11,Kit_Catalog!$A:$K,8,FALSE()),VLOOKUP(D11,Additional_Supply_Catalog!$A:$K,7,FALSE())),"")</f>
        <v>44.89</v>
      </c>
      <c r="Q11" s="1" t="n">
        <f aca="false">IFERROR(IF(LEFT(D11,1)="K",VLOOKUP(D11,Kit_Catalog!$A:$K,7,FALSE()),VLOOKUP(D11,Additional_Supply_Catalog!$A:$K,8,FALSE())),"")</f>
        <v>250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988</v>
      </c>
      <c r="B12" s="85" t="s">
        <v>901</v>
      </c>
      <c r="C12" s="85" t="s">
        <v>335</v>
      </c>
      <c r="D12" s="85" t="s">
        <v>333</v>
      </c>
      <c r="E12" s="85" t="s">
        <v>22</v>
      </c>
      <c r="F12" s="86" t="n">
        <v>0.005</v>
      </c>
      <c r="G12" s="85" t="s">
        <v>337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1000</v>
      </c>
      <c r="P12" s="1" t="n">
        <f aca="false">IFERROR(IF(LEFT(D12,1)="K",VLOOKUP(D12,Kit_Catalog!$A:$K,8,FALSE()),VLOOKUP(D12,Additional_Supply_Catalog!$A:$K,7,FALSE())),"")</f>
        <v>13.86</v>
      </c>
      <c r="Q12" s="1" t="n">
        <f aca="false">IFERROR(IF(LEFT(D12,1)="K",VLOOKUP(D12,Kit_Catalog!$A:$K,7,FALSE()),VLOOKUP(D12,Additional_Supply_Catalog!$A:$K,8,FALSE())),"")</f>
        <v>500</v>
      </c>
      <c r="R12" s="1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988</v>
      </c>
      <c r="B13" s="85" t="s">
        <v>901</v>
      </c>
      <c r="C13" s="85" t="s">
        <v>1001</v>
      </c>
      <c r="D13" s="85"/>
      <c r="E13" s="85" t="s">
        <v>22</v>
      </c>
      <c r="F13" s="86" t="n">
        <v>1</v>
      </c>
      <c r="G13" s="85" t="s">
        <v>373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996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1002</v>
      </c>
      <c r="B14" s="96" t="s">
        <v>901</v>
      </c>
      <c r="C14" s="96" t="s">
        <v>264</v>
      </c>
      <c r="D14" s="96" t="s">
        <v>261</v>
      </c>
      <c r="E14" s="96" t="s">
        <v>24</v>
      </c>
      <c r="F14" s="97" t="n">
        <v>1</v>
      </c>
      <c r="G14" s="96" t="s">
        <v>971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989</v>
      </c>
      <c r="P14" s="1" t="n">
        <f aca="false">IFERROR(IF(LEFT(D14,1)="K",VLOOKUP(D14,Kit_Catalog!$A:$K,8,FALSE()),VLOOKUP(D14,Additional_Supply_Catalog!$A:$K,7,FALSE())),"")</f>
        <v>25000</v>
      </c>
      <c r="Q14" s="1" t="n">
        <f aca="false">IFERROR(IF(LEFT(D14,1)="K",VLOOKUP(D14,Kit_Catalog!$A:$K,7,FALSE()),VLOOKUP(D14,Additional_Supply_Catalog!$A:$K,8,FALSE())),"")</f>
        <v>16</v>
      </c>
      <c r="R14" s="1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1002</v>
      </c>
      <c r="B15" s="96" t="s">
        <v>901</v>
      </c>
      <c r="C15" s="96" t="s">
        <v>268</v>
      </c>
      <c r="D15" s="96" t="s">
        <v>267</v>
      </c>
      <c r="E15" s="96" t="s">
        <v>24</v>
      </c>
      <c r="F15" s="97" t="n">
        <v>1</v>
      </c>
      <c r="G15" s="96" t="s">
        <v>971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989</v>
      </c>
      <c r="P15" s="1" t="n">
        <f aca="false">IFERROR(IF(LEFT(D15,1)="K",VLOOKUP(D15,Kit_Catalog!$A:$K,8,FALSE()),VLOOKUP(D15,Additional_Supply_Catalog!$A:$K,7,FALSE())),"")</f>
        <v>1800</v>
      </c>
      <c r="Q15" s="1" t="n">
        <f aca="false">IFERROR(IF(LEFT(D15,1)="K",VLOOKUP(D15,Kit_Catalog!$A:$K,7,FALSE()),VLOOKUP(D15,Additional_Supply_Catalog!$A:$K,8,FALSE())),"")</f>
        <v>48</v>
      </c>
      <c r="R15" s="1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1002</v>
      </c>
      <c r="B16" s="96" t="s">
        <v>901</v>
      </c>
      <c r="C16" s="96" t="s">
        <v>276</v>
      </c>
      <c r="D16" s="96" t="s">
        <v>275</v>
      </c>
      <c r="E16" s="96" t="s">
        <v>24</v>
      </c>
      <c r="F16" s="97" t="n">
        <v>1</v>
      </c>
      <c r="G16" s="96" t="s">
        <v>971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989</v>
      </c>
      <c r="P16" s="1" t="n">
        <f aca="false">IFERROR(IF(LEFT(D16,1)="K",VLOOKUP(D16,Kit_Catalog!$A:$K,8,FALSE()),VLOOKUP(D16,Additional_Supply_Catalog!$A:$K,7,FALSE())),"")</f>
        <v>960</v>
      </c>
      <c r="Q16" s="1" t="n">
        <f aca="false">IFERROR(IF(LEFT(D16,1)="K",VLOOKUP(D16,Kit_Catalog!$A:$K,7,FALSE()),VLOOKUP(D16,Additional_Supply_Catalog!$A:$K,8,FALSE())),"")</f>
        <v>96</v>
      </c>
      <c r="R16" s="1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1003</v>
      </c>
      <c r="B17" s="85" t="s">
        <v>901</v>
      </c>
      <c r="C17" s="85" t="s">
        <v>188</v>
      </c>
      <c r="D17" s="85" t="s">
        <v>186</v>
      </c>
      <c r="E17" s="85" t="s">
        <v>25</v>
      </c>
      <c r="F17" s="86" t="n">
        <v>1</v>
      </c>
      <c r="G17" s="85" t="s">
        <v>971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989</v>
      </c>
      <c r="P17" s="1" t="n">
        <f aca="false">IFERROR(IF(LEFT(D17,1)="K",VLOOKUP(D17,Kit_Catalog!$A:$K,8,FALSE()),VLOOKUP(D17,Additional_Supply_Catalog!$A:$K,7,FALSE())),"")</f>
        <v>1250</v>
      </c>
      <c r="Q17" s="1" t="n">
        <f aca="false">IFERROR(IF(LEFT(D17,1)="K",VLOOKUP(D17,Kit_Catalog!$A:$K,7,FALSE()),VLOOKUP(D17,Additional_Supply_Catalog!$A:$K,8,FALSE())),"")</f>
        <v>16</v>
      </c>
      <c r="R17" s="1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1003</v>
      </c>
      <c r="B18" s="85" t="s">
        <v>901</v>
      </c>
      <c r="C18" s="85" t="s">
        <v>192</v>
      </c>
      <c r="D18" s="85" t="s">
        <v>191</v>
      </c>
      <c r="E18" s="85" t="s">
        <v>25</v>
      </c>
      <c r="F18" s="86" t="n">
        <v>1</v>
      </c>
      <c r="G18" s="85" t="s">
        <v>971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989</v>
      </c>
      <c r="P18" s="1" t="n">
        <f aca="false">IFERROR(IF(LEFT(D18,1)="K",VLOOKUP(D18,Kit_Catalog!$A:$K,8,FALSE()),VLOOKUP(D18,Additional_Supply_Catalog!$A:$K,7,FALSE())),"")</f>
        <v>960</v>
      </c>
      <c r="Q18" s="1" t="n">
        <f aca="false">IFERROR(IF(LEFT(D18,1)="K",VLOOKUP(D18,Kit_Catalog!$A:$K,7,FALSE()),VLOOKUP(D18,Additional_Supply_Catalog!$A:$K,8,FALSE())),"")</f>
        <v>96</v>
      </c>
      <c r="R18" s="1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1003</v>
      </c>
      <c r="B19" s="85" t="s">
        <v>901</v>
      </c>
      <c r="C19" s="85" t="s">
        <v>354</v>
      </c>
      <c r="D19" s="85" t="s">
        <v>353</v>
      </c>
      <c r="E19" s="85" t="s">
        <v>25</v>
      </c>
      <c r="F19" s="86" t="n">
        <v>0.1415</v>
      </c>
      <c r="G19" s="85" t="s">
        <v>337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990</v>
      </c>
      <c r="P19" s="1" t="n">
        <f aca="false">IFERROR(IF(LEFT(D19,1)="K",VLOOKUP(D19,Kit_Catalog!$A:$K,8,FALSE()),VLOOKUP(D19,Additional_Supply_Catalog!$A:$K,7,FALSE())),"")</f>
        <v>49.9</v>
      </c>
      <c r="Q19" s="1" t="n">
        <f aca="false">IFERROR(IF(LEFT(D19,1)="K",VLOOKUP(D19,Kit_Catalog!$A:$K,7,FALSE()),VLOOKUP(D19,Additional_Supply_Catalog!$A:$K,8,FALSE())),"")</f>
        <v>250</v>
      </c>
      <c r="R19" s="1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1003</v>
      </c>
      <c r="B20" s="85" t="s">
        <v>901</v>
      </c>
      <c r="C20" s="85" t="s">
        <v>991</v>
      </c>
      <c r="D20" s="85" t="s">
        <v>346</v>
      </c>
      <c r="E20" s="85" t="s">
        <v>25</v>
      </c>
      <c r="F20" s="86" t="n">
        <v>1.05</v>
      </c>
      <c r="G20" s="85" t="s">
        <v>337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990</v>
      </c>
      <c r="P20" s="1" t="n">
        <f aca="false">IFERROR(IF(LEFT(D20,1)="K",VLOOKUP(D20,Kit_Catalog!$A:$K,8,FALSE()),VLOOKUP(D20,Additional_Supply_Catalog!$A:$K,7,FALSE())),"")</f>
        <v>109</v>
      </c>
      <c r="Q20" s="1" t="n">
        <f aca="false">IFERROR(IF(LEFT(D20,1)="K",VLOOKUP(D20,Kit_Catalog!$A:$K,7,FALSE()),VLOOKUP(D20,Additional_Supply_Catalog!$A:$K,8,FALSE())),"")</f>
        <v>500</v>
      </c>
      <c r="R20" s="1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1003</v>
      </c>
      <c r="B21" s="85" t="s">
        <v>901</v>
      </c>
      <c r="C21" s="85" t="s">
        <v>992</v>
      </c>
      <c r="D21" s="85" t="s">
        <v>360</v>
      </c>
      <c r="E21" s="85" t="s">
        <v>25</v>
      </c>
      <c r="F21" s="86" t="n">
        <v>0.2</v>
      </c>
      <c r="G21" s="85" t="s">
        <v>337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990</v>
      </c>
      <c r="P21" s="1" t="n">
        <f aca="false">IFERROR(IF(LEFT(D21,1)="K",VLOOKUP(D21,Kit_Catalog!$A:$K,8,FALSE()),VLOOKUP(D21,Additional_Supply_Catalog!$A:$K,7,FALSE())),"")</f>
        <v>1635.9</v>
      </c>
      <c r="Q21" s="1" t="n">
        <f aca="false">IFERROR(IF(LEFT(D21,1)="K",VLOOKUP(D21,Kit_Catalog!$A:$K,7,FALSE()),VLOOKUP(D21,Additional_Supply_Catalog!$A:$K,8,FALSE())),"")</f>
        <v>60</v>
      </c>
      <c r="R21" s="1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1003</v>
      </c>
      <c r="B22" s="85" t="s">
        <v>901</v>
      </c>
      <c r="C22" s="85" t="s">
        <v>1004</v>
      </c>
      <c r="D22" s="85" t="s">
        <v>375</v>
      </c>
      <c r="E22" s="85" t="s">
        <v>25</v>
      </c>
      <c r="F22" s="86" t="n">
        <v>1</v>
      </c>
      <c r="G22" s="85" t="s">
        <v>1005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996</v>
      </c>
      <c r="P22" s="1" t="n">
        <f aca="false">IFERROR(IF(LEFT(D22,1)="K",VLOOKUP(D22,Kit_Catalog!$A:$K,8,FALSE()),VLOOKUP(D22,Additional_Supply_Catalog!$A:$K,7,FALSE())),"")</f>
        <v>606.25</v>
      </c>
      <c r="Q22" s="1" t="n">
        <f aca="false">IFERROR(IF(LEFT(D22,1)="K",VLOOKUP(D22,Kit_Catalog!$A:$K,7,FALSE()),VLOOKUP(D22,Additional_Supply_Catalog!$A:$K,8,FALSE())),"")</f>
        <v>1</v>
      </c>
      <c r="R22" s="1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1003</v>
      </c>
      <c r="B23" s="85" t="s">
        <v>901</v>
      </c>
      <c r="C23" s="85" t="s">
        <v>1006</v>
      </c>
      <c r="D23" s="85" t="s">
        <v>367</v>
      </c>
      <c r="E23" s="85" t="s">
        <v>25</v>
      </c>
      <c r="F23" s="86" t="n">
        <v>1</v>
      </c>
      <c r="G23" s="85" t="s">
        <v>1005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990</v>
      </c>
      <c r="P23" s="1" t="n">
        <f aca="false">IFERROR(IF(LEFT(D23,1)="K",VLOOKUP(D23,Kit_Catalog!$A:$K,8,FALSE()),VLOOKUP(D23,Additional_Supply_Catalog!$A:$K,7,FALSE())),"")</f>
        <v>426.65</v>
      </c>
      <c r="Q23" s="1" t="n">
        <f aca="false">IFERROR(IF(LEFT(D23,1)="K",VLOOKUP(D23,Kit_Catalog!$A:$K,7,FALSE()),VLOOKUP(D23,Additional_Supply_Catalog!$A:$K,8,FALSE())),"")</f>
        <v>500</v>
      </c>
      <c r="R23" s="1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1003</v>
      </c>
      <c r="B24" s="85" t="s">
        <v>901</v>
      </c>
      <c r="C24" s="85" t="s">
        <v>1007</v>
      </c>
      <c r="D24" s="85" t="s">
        <v>579</v>
      </c>
      <c r="E24" s="85" t="s">
        <v>25</v>
      </c>
      <c r="F24" s="86" t="n">
        <v>1</v>
      </c>
      <c r="G24" s="85" t="s">
        <v>548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996</v>
      </c>
      <c r="P24" s="1" t="n">
        <f aca="false">IFERROR(IF(LEFT(D24,1)="K",VLOOKUP(D24,Kit_Catalog!$A:$K,8,FALSE()),VLOOKUP(D24,Additional_Supply_Catalog!$A:$K,7,FALSE())),"")</f>
        <v>135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1003</v>
      </c>
      <c r="B25" s="85" t="s">
        <v>901</v>
      </c>
      <c r="C25" s="85" t="s">
        <v>993</v>
      </c>
      <c r="D25" s="85" t="s">
        <v>557</v>
      </c>
      <c r="E25" s="85" t="s">
        <v>25</v>
      </c>
      <c r="F25" s="86" t="n">
        <v>0.125</v>
      </c>
      <c r="G25" s="85" t="s">
        <v>562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994</v>
      </c>
      <c r="P25" s="1" t="n">
        <f aca="false">IFERROR(IF(LEFT(D25,1)="K",VLOOKUP(D25,Kit_Catalog!$A:$K,8,FALSE()),VLOOKUP(D25,Additional_Supply_Catalog!$A:$K,7,FALSE())),"")</f>
        <v>97.55</v>
      </c>
      <c r="Q25" s="1" t="n">
        <f aca="false">IFERROR(IF(LEFT(D25,1)="K",VLOOKUP(D25,Kit_Catalog!$A:$K,7,FALSE()),VLOOKUP(D25,Additional_Supply_Catalog!$A:$K,8,FALSE())),"")</f>
        <v>125</v>
      </c>
      <c r="R25" s="1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1003</v>
      </c>
      <c r="B26" s="85" t="s">
        <v>901</v>
      </c>
      <c r="C26" s="85" t="s">
        <v>997</v>
      </c>
      <c r="D26" s="85" t="s">
        <v>536</v>
      </c>
      <c r="E26" s="85" t="s">
        <v>25</v>
      </c>
      <c r="F26" s="86" t="n">
        <v>4</v>
      </c>
      <c r="G26" s="85" t="s">
        <v>534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35.2</v>
      </c>
      <c r="K26" s="90" t="n">
        <f aca="false">IF(ISNUMBER(MATCH(G26,{"tube","each","plate","vial","kit","bottle","aliquot","strainer","cap","lane-rxn","tip","strip","lane","channel","library","sample"},0)),ROUNDUP(J26,0),ROUND(J26,2))</f>
        <v>36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0.0187916666666667</v>
      </c>
      <c r="M26" s="92" t="n">
        <f aca="false">IFERROR(F26*L26,"")</f>
        <v>0.0751666666666667</v>
      </c>
      <c r="N26" s="93" t="n">
        <f aca="false">IFERROR(J26*L26,"")</f>
        <v>0.661466666666667</v>
      </c>
      <c r="O26" s="94" t="s">
        <v>996</v>
      </c>
      <c r="P26" s="1" t="n">
        <f aca="false">IFERROR(IF(LEFT(D26,1)="K",VLOOKUP(D26,Kit_Catalog!$A:$K,8,FALSE()),VLOOKUP(D26,Additional_Supply_Catalog!$A:$K,7,FALSE())),"")</f>
        <v>180.4</v>
      </c>
      <c r="Q26" s="1" t="n">
        <f aca="false">IFERROR(IF(LEFT(D26,1)="K",VLOOKUP(D26,Kit_Catalog!$A:$K,7,FALSE()),VLOOKUP(D26,Additional_Supply_Catalog!$A:$K,8,FALSE())),"")</f>
        <v>9600</v>
      </c>
      <c r="R26" s="1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1003</v>
      </c>
      <c r="B27" s="85" t="s">
        <v>901</v>
      </c>
      <c r="C27" s="85" t="s">
        <v>998</v>
      </c>
      <c r="D27" s="85" t="s">
        <v>540</v>
      </c>
      <c r="E27" s="85" t="s">
        <v>25</v>
      </c>
      <c r="F27" s="86" t="n">
        <v>1</v>
      </c>
      <c r="G27" s="85" t="s">
        <v>534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8.8</v>
      </c>
      <c r="K27" s="90" t="n">
        <f aca="false">IF(ISNUMBER(MATCH(G27,{"tube","each","plate","vial","kit","bottle","aliquot","strainer","cap","lane-rxn","tip","strip","lane","channel","library","sample"},0)),ROUNDUP(J27,0),ROUND(J27,2))</f>
        <v>9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0.0187916666666667</v>
      </c>
      <c r="M27" s="92" t="n">
        <f aca="false">IFERROR(F27*L27,"")</f>
        <v>0.0187916666666667</v>
      </c>
      <c r="N27" s="93" t="n">
        <f aca="false">IFERROR(J27*L27,"")</f>
        <v>0.165366666666667</v>
      </c>
      <c r="O27" s="94" t="s">
        <v>996</v>
      </c>
      <c r="P27" s="1" t="n">
        <f aca="false">IFERROR(IF(LEFT(D27,1)="K",VLOOKUP(D27,Kit_Catalog!$A:$K,8,FALSE()),VLOOKUP(D27,Additional_Supply_Catalog!$A:$K,7,FALSE())),"")</f>
        <v>180.4</v>
      </c>
      <c r="Q27" s="1" t="n">
        <f aca="false">IFERROR(IF(LEFT(D27,1)="K",VLOOKUP(D27,Kit_Catalog!$A:$K,7,FALSE()),VLOOKUP(D27,Additional_Supply_Catalog!$A:$K,8,FALSE())),"")</f>
        <v>9600</v>
      </c>
      <c r="R27" s="1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1003</v>
      </c>
      <c r="B28" s="85" t="s">
        <v>901</v>
      </c>
      <c r="C28" s="85" t="s">
        <v>999</v>
      </c>
      <c r="D28" s="85" t="s">
        <v>544</v>
      </c>
      <c r="E28" s="85" t="s">
        <v>25</v>
      </c>
      <c r="F28" s="86" t="n">
        <v>1</v>
      </c>
      <c r="G28" s="85" t="s">
        <v>548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996</v>
      </c>
      <c r="P28" s="1" t="n">
        <f aca="false">IFERROR(IF(LEFT(D28,1)="K",VLOOKUP(D28,Kit_Catalog!$A:$K,8,FALSE()),VLOOKUP(D28,Additional_Supply_Catalog!$A:$K,7,FALSE())),"")</f>
        <v>44.89</v>
      </c>
      <c r="Q28" s="1" t="n">
        <f aca="false">IFERROR(IF(LEFT(D28,1)="K",VLOOKUP(D28,Kit_Catalog!$A:$K,7,FALSE()),VLOOKUP(D28,Additional_Supply_Catalog!$A:$K,8,FALSE())),"")</f>
        <v>250</v>
      </c>
      <c r="R28" s="1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1003</v>
      </c>
      <c r="B29" s="85" t="s">
        <v>901</v>
      </c>
      <c r="C29" s="85" t="s">
        <v>1008</v>
      </c>
      <c r="D29" s="85" t="s">
        <v>388</v>
      </c>
      <c r="E29" s="85" t="s">
        <v>25</v>
      </c>
      <c r="F29" s="86" t="n">
        <v>1</v>
      </c>
      <c r="G29" s="85" t="s">
        <v>1005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1000</v>
      </c>
      <c r="P29" s="1" t="n">
        <f aca="false">IFERROR(IF(LEFT(D29,1)="K",VLOOKUP(D29,Kit_Catalog!$A:$K,8,FALSE()),VLOOKUP(D29,Additional_Supply_Catalog!$A:$K,7,FALSE())),"")</f>
        <v>0</v>
      </c>
      <c r="Q29" s="1" t="n">
        <f aca="false">IFERROR(IF(LEFT(D29,1)="K",VLOOKUP(D29,Kit_Catalog!$A:$K,7,FALSE()),VLOOKUP(D29,Additional_Supply_Catalog!$A:$K,8,FALSE())),"")</f>
        <v>0</v>
      </c>
      <c r="R29" s="1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1009</v>
      </c>
      <c r="B30" s="96" t="s">
        <v>901</v>
      </c>
      <c r="C30" s="96" t="s">
        <v>188</v>
      </c>
      <c r="D30" s="96" t="s">
        <v>186</v>
      </c>
      <c r="E30" s="96" t="s">
        <v>27</v>
      </c>
      <c r="F30" s="97" t="n">
        <v>1</v>
      </c>
      <c r="G30" s="96" t="s">
        <v>971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989</v>
      </c>
      <c r="P30" s="1" t="n">
        <f aca="false">IFERROR(IF(LEFT(D30,1)="K",VLOOKUP(D30,Kit_Catalog!$A:$K,8,FALSE()),VLOOKUP(D30,Additional_Supply_Catalog!$A:$K,7,FALSE())),"")</f>
        <v>1250</v>
      </c>
      <c r="Q30" s="1" t="n">
        <f aca="false">IFERROR(IF(LEFT(D30,1)="K",VLOOKUP(D30,Kit_Catalog!$A:$K,7,FALSE()),VLOOKUP(D30,Additional_Supply_Catalog!$A:$K,8,FALSE())),"")</f>
        <v>16</v>
      </c>
      <c r="R30" s="1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1009</v>
      </c>
      <c r="B31" s="96" t="s">
        <v>901</v>
      </c>
      <c r="C31" s="96" t="s">
        <v>192</v>
      </c>
      <c r="D31" s="96" t="s">
        <v>191</v>
      </c>
      <c r="E31" s="96" t="s">
        <v>27</v>
      </c>
      <c r="F31" s="97" t="n">
        <v>1</v>
      </c>
      <c r="G31" s="96" t="s">
        <v>971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989</v>
      </c>
      <c r="P31" s="1" t="n">
        <f aca="false">IFERROR(IF(LEFT(D31,1)="K",VLOOKUP(D31,Kit_Catalog!$A:$K,8,FALSE()),VLOOKUP(D31,Additional_Supply_Catalog!$A:$K,7,FALSE())),"")</f>
        <v>960</v>
      </c>
      <c r="Q31" s="1" t="n">
        <f aca="false">IFERROR(IF(LEFT(D31,1)="K",VLOOKUP(D31,Kit_Catalog!$A:$K,7,FALSE()),VLOOKUP(D31,Additional_Supply_Catalog!$A:$K,8,FALSE())),"")</f>
        <v>96</v>
      </c>
      <c r="R31" s="1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1009</v>
      </c>
      <c r="B32" s="96" t="s">
        <v>901</v>
      </c>
      <c r="C32" s="96" t="s">
        <v>197</v>
      </c>
      <c r="D32" s="96" t="s">
        <v>195</v>
      </c>
      <c r="E32" s="96" t="s">
        <v>27</v>
      </c>
      <c r="F32" s="97" t="n">
        <v>1</v>
      </c>
      <c r="G32" s="96" t="s">
        <v>971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989</v>
      </c>
      <c r="P32" s="1" t="n">
        <f aca="false">IFERROR(IF(LEFT(D32,1)="K",VLOOKUP(D32,Kit_Catalog!$A:$K,8,FALSE()),VLOOKUP(D32,Additional_Supply_Catalog!$A:$K,7,FALSE())),"")</f>
        <v>360</v>
      </c>
      <c r="Q32" s="1" t="n">
        <f aca="false">IFERROR(IF(LEFT(D32,1)="K",VLOOKUP(D32,Kit_Catalog!$A:$K,7,FALSE()),VLOOKUP(D32,Additional_Supply_Catalog!$A:$K,8,FALSE())),"")</f>
        <v>16</v>
      </c>
      <c r="R32" s="1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1009</v>
      </c>
      <c r="B33" s="96" t="s">
        <v>901</v>
      </c>
      <c r="C33" s="96" t="s">
        <v>201</v>
      </c>
      <c r="D33" s="96" t="s">
        <v>200</v>
      </c>
      <c r="E33" s="96" t="s">
        <v>27</v>
      </c>
      <c r="F33" s="97" t="n">
        <v>1</v>
      </c>
      <c r="G33" s="96" t="s">
        <v>971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989</v>
      </c>
      <c r="P33" s="1" t="n">
        <f aca="false">IFERROR(IF(LEFT(D33,1)="K",VLOOKUP(D33,Kit_Catalog!$A:$K,8,FALSE()),VLOOKUP(D33,Additional_Supply_Catalog!$A:$K,7,FALSE())),"")</f>
        <v>360</v>
      </c>
      <c r="Q33" s="1" t="n">
        <f aca="false">IFERROR(IF(LEFT(D33,1)="K",VLOOKUP(D33,Kit_Catalog!$A:$K,7,FALSE()),VLOOKUP(D33,Additional_Supply_Catalog!$A:$K,8,FALSE())),"")</f>
        <v>16</v>
      </c>
      <c r="R33" s="1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1009</v>
      </c>
      <c r="B34" s="96" t="s">
        <v>901</v>
      </c>
      <c r="C34" s="96" t="s">
        <v>354</v>
      </c>
      <c r="D34" s="96" t="s">
        <v>353</v>
      </c>
      <c r="E34" s="96" t="s">
        <v>27</v>
      </c>
      <c r="F34" s="97" t="n">
        <v>0.167</v>
      </c>
      <c r="G34" s="96" t="s">
        <v>337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990</v>
      </c>
      <c r="P34" s="1" t="n">
        <f aca="false">IFERROR(IF(LEFT(D34,1)="K",VLOOKUP(D34,Kit_Catalog!$A:$K,8,FALSE()),VLOOKUP(D34,Additional_Supply_Catalog!$A:$K,7,FALSE())),"")</f>
        <v>49.9</v>
      </c>
      <c r="Q34" s="1" t="n">
        <f aca="false">IFERROR(IF(LEFT(D34,1)="K",VLOOKUP(D34,Kit_Catalog!$A:$K,7,FALSE()),VLOOKUP(D34,Additional_Supply_Catalog!$A:$K,8,FALSE())),"")</f>
        <v>250</v>
      </c>
      <c r="R34" s="1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1009</v>
      </c>
      <c r="B35" s="96" t="s">
        <v>901</v>
      </c>
      <c r="C35" s="96" t="s">
        <v>991</v>
      </c>
      <c r="D35" s="96" t="s">
        <v>346</v>
      </c>
      <c r="E35" s="96" t="s">
        <v>27</v>
      </c>
      <c r="F35" s="97" t="n">
        <v>1.6</v>
      </c>
      <c r="G35" s="96" t="s">
        <v>337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990</v>
      </c>
      <c r="P35" s="1" t="n">
        <f aca="false">IFERROR(IF(LEFT(D35,1)="K",VLOOKUP(D35,Kit_Catalog!$A:$K,8,FALSE()),VLOOKUP(D35,Additional_Supply_Catalog!$A:$K,7,FALSE())),"")</f>
        <v>109</v>
      </c>
      <c r="Q35" s="1" t="n">
        <f aca="false">IFERROR(IF(LEFT(D35,1)="K",VLOOKUP(D35,Kit_Catalog!$A:$K,7,FALSE()),VLOOKUP(D35,Additional_Supply_Catalog!$A:$K,8,FALSE())),"")</f>
        <v>500</v>
      </c>
      <c r="R35" s="1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1009</v>
      </c>
      <c r="B36" s="96" t="s">
        <v>901</v>
      </c>
      <c r="C36" s="96" t="s">
        <v>992</v>
      </c>
      <c r="D36" s="96" t="s">
        <v>360</v>
      </c>
      <c r="E36" s="96" t="s">
        <v>27</v>
      </c>
      <c r="F36" s="97" t="n">
        <v>0.32</v>
      </c>
      <c r="G36" s="96" t="s">
        <v>337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990</v>
      </c>
      <c r="P36" s="1" t="n">
        <f aca="false">IFERROR(IF(LEFT(D36,1)="K",VLOOKUP(D36,Kit_Catalog!$A:$K,8,FALSE()),VLOOKUP(D36,Additional_Supply_Catalog!$A:$K,7,FALSE())),"")</f>
        <v>1635.9</v>
      </c>
      <c r="Q36" s="1" t="n">
        <f aca="false">IFERROR(IF(LEFT(D36,1)="K",VLOOKUP(D36,Kit_Catalog!$A:$K,7,FALSE()),VLOOKUP(D36,Additional_Supply_Catalog!$A:$K,8,FALSE())),"")</f>
        <v>60</v>
      </c>
      <c r="R36" s="1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1009</v>
      </c>
      <c r="B37" s="96" t="s">
        <v>901</v>
      </c>
      <c r="C37" s="96" t="s">
        <v>1004</v>
      </c>
      <c r="D37" s="96" t="s">
        <v>375</v>
      </c>
      <c r="E37" s="96" t="s">
        <v>27</v>
      </c>
      <c r="F37" s="97" t="n">
        <v>1</v>
      </c>
      <c r="G37" s="96" t="s">
        <v>1005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996</v>
      </c>
      <c r="P37" s="1" t="n">
        <f aca="false">IFERROR(IF(LEFT(D37,1)="K",VLOOKUP(D37,Kit_Catalog!$A:$K,8,FALSE()),VLOOKUP(D37,Additional_Supply_Catalog!$A:$K,7,FALSE())),"")</f>
        <v>606.25</v>
      </c>
      <c r="Q37" s="1" t="n">
        <f aca="false">IFERROR(IF(LEFT(D37,1)="K",VLOOKUP(D37,Kit_Catalog!$A:$K,7,FALSE()),VLOOKUP(D37,Additional_Supply_Catalog!$A:$K,8,FALSE())),"")</f>
        <v>1</v>
      </c>
      <c r="R37" s="1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1009</v>
      </c>
      <c r="B38" s="96" t="s">
        <v>901</v>
      </c>
      <c r="C38" s="96" t="s">
        <v>1006</v>
      </c>
      <c r="D38" s="96" t="s">
        <v>367</v>
      </c>
      <c r="E38" s="96" t="s">
        <v>27</v>
      </c>
      <c r="F38" s="97" t="n">
        <v>1</v>
      </c>
      <c r="G38" s="96" t="s">
        <v>1005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990</v>
      </c>
      <c r="P38" s="1" t="n">
        <f aca="false">IFERROR(IF(LEFT(D38,1)="K",VLOOKUP(D38,Kit_Catalog!$A:$K,8,FALSE()),VLOOKUP(D38,Additional_Supply_Catalog!$A:$K,7,FALSE())),"")</f>
        <v>426.65</v>
      </c>
      <c r="Q38" s="1" t="n">
        <f aca="false">IFERROR(IF(LEFT(D38,1)="K",VLOOKUP(D38,Kit_Catalog!$A:$K,7,FALSE()),VLOOKUP(D38,Additional_Supply_Catalog!$A:$K,8,FALSE())),"")</f>
        <v>500</v>
      </c>
      <c r="R38" s="1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1009</v>
      </c>
      <c r="B39" s="96" t="s">
        <v>901</v>
      </c>
      <c r="C39" s="96" t="s">
        <v>1007</v>
      </c>
      <c r="D39" s="96" t="s">
        <v>579</v>
      </c>
      <c r="E39" s="96" t="s">
        <v>27</v>
      </c>
      <c r="F39" s="97" t="n">
        <v>1</v>
      </c>
      <c r="G39" s="96" t="s">
        <v>548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996</v>
      </c>
      <c r="P39" s="1" t="n">
        <f aca="false">IFERROR(IF(LEFT(D39,1)="K",VLOOKUP(D39,Kit_Catalog!$A:$K,8,FALSE()),VLOOKUP(D39,Additional_Supply_Catalog!$A:$K,7,FALSE())),"")</f>
        <v>135</v>
      </c>
      <c r="Q39" s="1" t="n">
        <f aca="false">IFERROR(IF(LEFT(D39,1)="K",VLOOKUP(D39,Kit_Catalog!$A:$K,7,FALSE()),VLOOKUP(D39,Additional_Supply_Catalog!$A:$K,8,FALSE())),"")</f>
        <v>500</v>
      </c>
      <c r="R39" s="1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1009</v>
      </c>
      <c r="B40" s="96" t="s">
        <v>901</v>
      </c>
      <c r="C40" s="96" t="s">
        <v>993</v>
      </c>
      <c r="D40" s="96" t="s">
        <v>557</v>
      </c>
      <c r="E40" s="96" t="s">
        <v>27</v>
      </c>
      <c r="F40" s="97" t="n">
        <v>0.25</v>
      </c>
      <c r="G40" s="96" t="s">
        <v>562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994</v>
      </c>
      <c r="P40" s="1" t="n">
        <f aca="false">IFERROR(IF(LEFT(D40,1)="K",VLOOKUP(D40,Kit_Catalog!$A:$K,8,FALSE()),VLOOKUP(D40,Additional_Supply_Catalog!$A:$K,7,FALSE())),"")</f>
        <v>97.55</v>
      </c>
      <c r="Q40" s="1" t="n">
        <f aca="false">IFERROR(IF(LEFT(D40,1)="K",VLOOKUP(D40,Kit_Catalog!$A:$K,7,FALSE()),VLOOKUP(D40,Additional_Supply_Catalog!$A:$K,8,FALSE())),"")</f>
        <v>125</v>
      </c>
      <c r="R40" s="1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1009</v>
      </c>
      <c r="B41" s="96" t="s">
        <v>901</v>
      </c>
      <c r="C41" s="96" t="s">
        <v>997</v>
      </c>
      <c r="D41" s="96" t="s">
        <v>536</v>
      </c>
      <c r="E41" s="96" t="s">
        <v>27</v>
      </c>
      <c r="F41" s="97" t="n">
        <v>5</v>
      </c>
      <c r="G41" s="96" t="s">
        <v>534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44</v>
      </c>
      <c r="K41" s="101" t="n">
        <f aca="false">IF(ISNUMBER(MATCH(G41,{"tube","each","plate","vial","kit","bottle","aliquot","strainer","cap","lane-rxn","tip","strip","lane","channel","library","sample"},0)),ROUNDUP(J41,0),ROUND(J41,2))</f>
        <v>44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0.0187916666666667</v>
      </c>
      <c r="M41" s="92" t="n">
        <f aca="false">IFERROR(F41*L41,"")</f>
        <v>0.0939583333333333</v>
      </c>
      <c r="N41" s="93" t="n">
        <f aca="false">IFERROR(J41*L41,"")</f>
        <v>0.826833333333333</v>
      </c>
      <c r="O41" s="102" t="s">
        <v>996</v>
      </c>
      <c r="P41" s="1" t="n">
        <f aca="false">IFERROR(IF(LEFT(D41,1)="K",VLOOKUP(D41,Kit_Catalog!$A:$K,8,FALSE()),VLOOKUP(D41,Additional_Supply_Catalog!$A:$K,7,FALSE())),"")</f>
        <v>180.4</v>
      </c>
      <c r="Q41" s="1" t="n">
        <f aca="false">IFERROR(IF(LEFT(D41,1)="K",VLOOKUP(D41,Kit_Catalog!$A:$K,7,FALSE()),VLOOKUP(D41,Additional_Supply_Catalog!$A:$K,8,FALSE())),"")</f>
        <v>9600</v>
      </c>
      <c r="R41" s="1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1009</v>
      </c>
      <c r="B42" s="96" t="s">
        <v>901</v>
      </c>
      <c r="C42" s="96" t="s">
        <v>998</v>
      </c>
      <c r="D42" s="96" t="s">
        <v>540</v>
      </c>
      <c r="E42" s="96" t="s">
        <v>27</v>
      </c>
      <c r="F42" s="97" t="n">
        <v>2</v>
      </c>
      <c r="G42" s="96" t="s">
        <v>534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17.6</v>
      </c>
      <c r="K42" s="101" t="n">
        <f aca="false">IF(ISNUMBER(MATCH(G42,{"tube","each","plate","vial","kit","bottle","aliquot","strainer","cap","lane-rxn","tip","strip","lane","channel","library","sample"},0)),ROUNDUP(J42,0),ROUND(J42,2))</f>
        <v>18</v>
      </c>
      <c r="L42" s="91" t="n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>0.0187916666666667</v>
      </c>
      <c r="M42" s="92" t="n">
        <f aca="false">IFERROR(F42*L42,"")</f>
        <v>0.0375833333333333</v>
      </c>
      <c r="N42" s="93" t="n">
        <f aca="false">IFERROR(J42*L42,"")</f>
        <v>0.330733333333333</v>
      </c>
      <c r="O42" s="102" t="s">
        <v>996</v>
      </c>
      <c r="P42" s="1" t="n">
        <f aca="false">IFERROR(IF(LEFT(D42,1)="K",VLOOKUP(D42,Kit_Catalog!$A:$K,8,FALSE()),VLOOKUP(D42,Additional_Supply_Catalog!$A:$K,7,FALSE())),"")</f>
        <v>180.4</v>
      </c>
      <c r="Q42" s="1" t="n">
        <f aca="false">IFERROR(IF(LEFT(D42,1)="K",VLOOKUP(D42,Kit_Catalog!$A:$K,7,FALSE()),VLOOKUP(D42,Additional_Supply_Catalog!$A:$K,8,FALSE())),"")</f>
        <v>9600</v>
      </c>
      <c r="R42" s="1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1009</v>
      </c>
      <c r="B43" s="96" t="s">
        <v>901</v>
      </c>
      <c r="C43" s="96" t="s">
        <v>999</v>
      </c>
      <c r="D43" s="96" t="s">
        <v>544</v>
      </c>
      <c r="E43" s="96" t="s">
        <v>27</v>
      </c>
      <c r="F43" s="97" t="n">
        <v>1</v>
      </c>
      <c r="G43" s="96" t="s">
        <v>548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996</v>
      </c>
      <c r="P43" s="1" t="n">
        <f aca="false">IFERROR(IF(LEFT(D43,1)="K",VLOOKUP(D43,Kit_Catalog!$A:$K,8,FALSE()),VLOOKUP(D43,Additional_Supply_Catalog!$A:$K,7,FALSE())),"")</f>
        <v>44.89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1009</v>
      </c>
      <c r="B44" s="96" t="s">
        <v>901</v>
      </c>
      <c r="C44" s="96" t="s">
        <v>1001</v>
      </c>
      <c r="D44" s="96"/>
      <c r="E44" s="96" t="s">
        <v>27</v>
      </c>
      <c r="F44" s="97" t="n">
        <v>1</v>
      </c>
      <c r="G44" s="96" t="s">
        <v>373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996</v>
      </c>
      <c r="P44" s="1" t="str">
        <f aca="false">IFERROR(IF(LEFT(D44,1)="K",VLOOKUP(D44,Kit_Catalog!$A:$K,8,FALSE()),VLOOKUP(D44,Additional_Supply_Catalog!$A:$K,7,FALSE())),"")</f>
        <v/>
      </c>
      <c r="Q44" s="1" t="str">
        <f aca="false">IFERROR(IF(LEFT(D44,1)="K",VLOOKUP(D44,Kit_Catalog!$A:$K,7,FALSE()),VLOOKUP(D44,Additional_Supply_Catalog!$A:$K,8,FALSE())),"")</f>
        <v/>
      </c>
      <c r="R44" s="1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1009</v>
      </c>
      <c r="B45" s="96" t="s">
        <v>901</v>
      </c>
      <c r="C45" s="96" t="s">
        <v>1008</v>
      </c>
      <c r="D45" s="96" t="s">
        <v>388</v>
      </c>
      <c r="E45" s="96" t="s">
        <v>27</v>
      </c>
      <c r="F45" s="97" t="n">
        <v>1</v>
      </c>
      <c r="G45" s="96" t="s">
        <v>1005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1000</v>
      </c>
      <c r="P45" s="1" t="n">
        <f aca="false">IFERROR(IF(LEFT(D45,1)="K",VLOOKUP(D45,Kit_Catalog!$A:$K,8,FALSE()),VLOOKUP(D45,Additional_Supply_Catalog!$A:$K,7,FALSE())),"")</f>
        <v>0</v>
      </c>
      <c r="Q45" s="1" t="n">
        <f aca="false">IFERROR(IF(LEFT(D45,1)="K",VLOOKUP(D45,Kit_Catalog!$A:$K,7,FALSE()),VLOOKUP(D45,Additional_Supply_Catalog!$A:$K,8,FALSE())),"")</f>
        <v>0</v>
      </c>
      <c r="R45" s="1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1010</v>
      </c>
      <c r="B46" s="85" t="s">
        <v>901</v>
      </c>
      <c r="C46" s="85" t="s">
        <v>204</v>
      </c>
      <c r="D46" s="85" t="s">
        <v>203</v>
      </c>
      <c r="E46" s="85" t="s">
        <v>29</v>
      </c>
      <c r="F46" s="86" t="n">
        <v>1</v>
      </c>
      <c r="G46" s="85" t="s">
        <v>971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989</v>
      </c>
      <c r="P46" s="1" t="n">
        <f aca="false">IFERROR(IF(LEFT(D46,1)="K",VLOOKUP(D46,Kit_Catalog!$A:$K,8,FALSE()),VLOOKUP(D46,Additional_Supply_Catalog!$A:$K,7,FALSE())),"")</f>
        <v>670</v>
      </c>
      <c r="Q46" s="1" t="n">
        <f aca="false">IFERROR(IF(LEFT(D46,1)="K",VLOOKUP(D46,Kit_Catalog!$A:$K,7,FALSE()),VLOOKUP(D46,Additional_Supply_Catalog!$A:$K,8,FALSE())),"")</f>
        <v>16</v>
      </c>
      <c r="R46" s="1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1010</v>
      </c>
      <c r="B47" s="85" t="s">
        <v>901</v>
      </c>
      <c r="C47" s="85" t="s">
        <v>207</v>
      </c>
      <c r="D47" s="85" t="s">
        <v>206</v>
      </c>
      <c r="E47" s="85" t="s">
        <v>29</v>
      </c>
      <c r="F47" s="86" t="n">
        <v>1</v>
      </c>
      <c r="G47" s="85" t="s">
        <v>971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989</v>
      </c>
      <c r="P47" s="1" t="n">
        <f aca="false">IFERROR(IF(LEFT(D47,1)="K",VLOOKUP(D47,Kit_Catalog!$A:$K,8,FALSE()),VLOOKUP(D47,Additional_Supply_Catalog!$A:$K,7,FALSE())),"")</f>
        <v>960</v>
      </c>
      <c r="Q47" s="1" t="n">
        <f aca="false">IFERROR(IF(LEFT(D47,1)="K",VLOOKUP(D47,Kit_Catalog!$A:$K,7,FALSE()),VLOOKUP(D47,Additional_Supply_Catalog!$A:$K,8,FALSE())),"")</f>
        <v>96</v>
      </c>
      <c r="R47" s="1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1010</v>
      </c>
      <c r="B48" s="85" t="s">
        <v>901</v>
      </c>
      <c r="C48" s="85" t="s">
        <v>354</v>
      </c>
      <c r="D48" s="85" t="s">
        <v>353</v>
      </c>
      <c r="E48" s="85" t="s">
        <v>29</v>
      </c>
      <c r="F48" s="86" t="n">
        <v>0.0605</v>
      </c>
      <c r="G48" s="85" t="s">
        <v>337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990</v>
      </c>
      <c r="P48" s="1" t="n">
        <f aca="false">IFERROR(IF(LEFT(D48,1)="K",VLOOKUP(D48,Kit_Catalog!$A:$K,8,FALSE()),VLOOKUP(D48,Additional_Supply_Catalog!$A:$K,7,FALSE())),"")</f>
        <v>49.9</v>
      </c>
      <c r="Q48" s="1" t="n">
        <f aca="false">IFERROR(IF(LEFT(D48,1)="K",VLOOKUP(D48,Kit_Catalog!$A:$K,7,FALSE()),VLOOKUP(D48,Additional_Supply_Catalog!$A:$K,8,FALSE())),"")</f>
        <v>250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1010</v>
      </c>
      <c r="B49" s="85" t="s">
        <v>901</v>
      </c>
      <c r="C49" s="85" t="s">
        <v>991</v>
      </c>
      <c r="D49" s="85" t="s">
        <v>346</v>
      </c>
      <c r="E49" s="85" t="s">
        <v>29</v>
      </c>
      <c r="F49" s="86" t="n">
        <v>0.5</v>
      </c>
      <c r="G49" s="85" t="s">
        <v>337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990</v>
      </c>
      <c r="P49" s="1" t="n">
        <f aca="false">IFERROR(IF(LEFT(D49,1)="K",VLOOKUP(D49,Kit_Catalog!$A:$K,8,FALSE()),VLOOKUP(D49,Additional_Supply_Catalog!$A:$K,7,FALSE())),"")</f>
        <v>109</v>
      </c>
      <c r="Q49" s="1" t="n">
        <f aca="false">IFERROR(IF(LEFT(D49,1)="K",VLOOKUP(D49,Kit_Catalog!$A:$K,7,FALSE()),VLOOKUP(D49,Additional_Supply_Catalog!$A:$K,8,FALSE())),"")</f>
        <v>500</v>
      </c>
      <c r="R49" s="1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1010</v>
      </c>
      <c r="B50" s="85" t="s">
        <v>901</v>
      </c>
      <c r="C50" s="85" t="s">
        <v>992</v>
      </c>
      <c r="D50" s="85" t="s">
        <v>360</v>
      </c>
      <c r="E50" s="85" t="s">
        <v>29</v>
      </c>
      <c r="F50" s="86" t="n">
        <v>0.12</v>
      </c>
      <c r="G50" s="85" t="s">
        <v>337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990</v>
      </c>
      <c r="P50" s="1" t="n">
        <f aca="false">IFERROR(IF(LEFT(D50,1)="K",VLOOKUP(D50,Kit_Catalog!$A:$K,8,FALSE()),VLOOKUP(D50,Additional_Supply_Catalog!$A:$K,7,FALSE())),"")</f>
        <v>1635.9</v>
      </c>
      <c r="Q50" s="1" t="n">
        <f aca="false">IFERROR(IF(LEFT(D50,1)="K",VLOOKUP(D50,Kit_Catalog!$A:$K,7,FALSE()),VLOOKUP(D50,Additional_Supply_Catalog!$A:$K,8,FALSE())),"")</f>
        <v>60</v>
      </c>
      <c r="R50" s="1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1010</v>
      </c>
      <c r="B51" s="85" t="s">
        <v>901</v>
      </c>
      <c r="C51" s="85" t="s">
        <v>1004</v>
      </c>
      <c r="D51" s="85" t="s">
        <v>375</v>
      </c>
      <c r="E51" s="85" t="s">
        <v>29</v>
      </c>
      <c r="F51" s="86" t="n">
        <v>1</v>
      </c>
      <c r="G51" s="85" t="s">
        <v>1005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996</v>
      </c>
      <c r="P51" s="1" t="n">
        <f aca="false">IFERROR(IF(LEFT(D51,1)="K",VLOOKUP(D51,Kit_Catalog!$A:$K,8,FALSE()),VLOOKUP(D51,Additional_Supply_Catalog!$A:$K,7,FALSE())),"")</f>
        <v>606.25</v>
      </c>
      <c r="Q51" s="1" t="n">
        <f aca="false">IFERROR(IF(LEFT(D51,1)="K",VLOOKUP(D51,Kit_Catalog!$A:$K,7,FALSE()),VLOOKUP(D51,Additional_Supply_Catalog!$A:$K,8,FALSE())),"")</f>
        <v>1</v>
      </c>
      <c r="R51" s="1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1010</v>
      </c>
      <c r="B52" s="85" t="s">
        <v>901</v>
      </c>
      <c r="C52" s="85" t="s">
        <v>1006</v>
      </c>
      <c r="D52" s="85" t="s">
        <v>367</v>
      </c>
      <c r="E52" s="85" t="s">
        <v>29</v>
      </c>
      <c r="F52" s="86" t="n">
        <v>1</v>
      </c>
      <c r="G52" s="85" t="s">
        <v>1005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990</v>
      </c>
      <c r="P52" s="1" t="n">
        <f aca="false">IFERROR(IF(LEFT(D52,1)="K",VLOOKUP(D52,Kit_Catalog!$A:$K,8,FALSE()),VLOOKUP(D52,Additional_Supply_Catalog!$A:$K,7,FALSE())),"")</f>
        <v>426.65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1010</v>
      </c>
      <c r="B53" s="85" t="s">
        <v>901</v>
      </c>
      <c r="C53" s="85" t="s">
        <v>1007</v>
      </c>
      <c r="D53" s="85" t="s">
        <v>579</v>
      </c>
      <c r="E53" s="85" t="s">
        <v>29</v>
      </c>
      <c r="F53" s="86" t="n">
        <v>1</v>
      </c>
      <c r="G53" s="85" t="s">
        <v>548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996</v>
      </c>
      <c r="P53" s="1" t="n">
        <f aca="false">IFERROR(IF(LEFT(D53,1)="K",VLOOKUP(D53,Kit_Catalog!$A:$K,8,FALSE()),VLOOKUP(D53,Additional_Supply_Catalog!$A:$K,7,FALSE())),"")</f>
        <v>135</v>
      </c>
      <c r="Q53" s="1" t="n">
        <f aca="false">IFERROR(IF(LEFT(D53,1)="K",VLOOKUP(D53,Kit_Catalog!$A:$K,7,FALSE()),VLOOKUP(D53,Additional_Supply_Catalog!$A:$K,8,FALSE())),"")</f>
        <v>500</v>
      </c>
      <c r="R53" s="1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1010</v>
      </c>
      <c r="B54" s="85" t="s">
        <v>901</v>
      </c>
      <c r="C54" s="85" t="s">
        <v>993</v>
      </c>
      <c r="D54" s="85" t="s">
        <v>557</v>
      </c>
      <c r="E54" s="85" t="s">
        <v>29</v>
      </c>
      <c r="F54" s="86" t="n">
        <v>0.125</v>
      </c>
      <c r="G54" s="85" t="s">
        <v>562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994</v>
      </c>
      <c r="P54" s="1" t="n">
        <f aca="false">IFERROR(IF(LEFT(D54,1)="K",VLOOKUP(D54,Kit_Catalog!$A:$K,8,FALSE()),VLOOKUP(D54,Additional_Supply_Catalog!$A:$K,7,FALSE())),"")</f>
        <v>97.55</v>
      </c>
      <c r="Q54" s="1" t="n">
        <f aca="false">IFERROR(IF(LEFT(D54,1)="K",VLOOKUP(D54,Kit_Catalog!$A:$K,7,FALSE()),VLOOKUP(D54,Additional_Supply_Catalog!$A:$K,8,FALSE())),"")</f>
        <v>125</v>
      </c>
      <c r="R54" s="1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1010</v>
      </c>
      <c r="B55" s="85" t="s">
        <v>901</v>
      </c>
      <c r="C55" s="85" t="s">
        <v>997</v>
      </c>
      <c r="D55" s="85" t="s">
        <v>536</v>
      </c>
      <c r="E55" s="85" t="s">
        <v>29</v>
      </c>
      <c r="F55" s="86" t="n">
        <v>3</v>
      </c>
      <c r="G55" s="85" t="s">
        <v>534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26.4</v>
      </c>
      <c r="K55" s="90" t="n">
        <f aca="false">IF(ISNUMBER(MATCH(G55,{"tube","each","plate","vial","kit","bottle","aliquot","strainer","cap","lane-rxn","tip","strip","lane","channel","library","sample"},0)),ROUNDUP(J55,0),ROUND(J55,2))</f>
        <v>27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0.0187916666666667</v>
      </c>
      <c r="M55" s="92" t="n">
        <f aca="false">IFERROR(F55*L55,"")</f>
        <v>0.056375</v>
      </c>
      <c r="N55" s="93" t="n">
        <f aca="false">IFERROR(J55*L55,"")</f>
        <v>0.4961</v>
      </c>
      <c r="O55" s="94" t="s">
        <v>996</v>
      </c>
      <c r="P55" s="1" t="n">
        <f aca="false">IFERROR(IF(LEFT(D55,1)="K",VLOOKUP(D55,Kit_Catalog!$A:$K,8,FALSE()),VLOOKUP(D55,Additional_Supply_Catalog!$A:$K,7,FALSE())),"")</f>
        <v>180.4</v>
      </c>
      <c r="Q55" s="1" t="n">
        <f aca="false">IFERROR(IF(LEFT(D55,1)="K",VLOOKUP(D55,Kit_Catalog!$A:$K,7,FALSE()),VLOOKUP(D55,Additional_Supply_Catalog!$A:$K,8,FALSE())),"")</f>
        <v>9600</v>
      </c>
      <c r="R55" s="1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1010</v>
      </c>
      <c r="B56" s="85" t="s">
        <v>901</v>
      </c>
      <c r="C56" s="85" t="s">
        <v>998</v>
      </c>
      <c r="D56" s="85" t="s">
        <v>540</v>
      </c>
      <c r="E56" s="85" t="s">
        <v>29</v>
      </c>
      <c r="F56" s="86" t="n">
        <v>1</v>
      </c>
      <c r="G56" s="85" t="s">
        <v>534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8.8</v>
      </c>
      <c r="K56" s="90" t="n">
        <f aca="false">IF(ISNUMBER(MATCH(G56,{"tube","each","plate","vial","kit","bottle","aliquot","strainer","cap","lane-rxn","tip","strip","lane","channel","library","sample"},0)),ROUNDUP(J56,0),ROUND(J56,2))</f>
        <v>9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0.0187916666666667</v>
      </c>
      <c r="M56" s="92" t="n">
        <f aca="false">IFERROR(F56*L56,"")</f>
        <v>0.0187916666666667</v>
      </c>
      <c r="N56" s="93" t="n">
        <f aca="false">IFERROR(J56*L56,"")</f>
        <v>0.165366666666667</v>
      </c>
      <c r="O56" s="94" t="s">
        <v>996</v>
      </c>
      <c r="P56" s="1" t="n">
        <f aca="false">IFERROR(IF(LEFT(D56,1)="K",VLOOKUP(D56,Kit_Catalog!$A:$K,8,FALSE()),VLOOKUP(D56,Additional_Supply_Catalog!$A:$K,7,FALSE())),"")</f>
        <v>180.4</v>
      </c>
      <c r="Q56" s="1" t="n">
        <f aca="false">IFERROR(IF(LEFT(D56,1)="K",VLOOKUP(D56,Kit_Catalog!$A:$K,7,FALSE()),VLOOKUP(D56,Additional_Supply_Catalog!$A:$K,8,FALSE())),"")</f>
        <v>9600</v>
      </c>
      <c r="R56" s="1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1010</v>
      </c>
      <c r="B57" s="85" t="s">
        <v>901</v>
      </c>
      <c r="C57" s="85" t="s">
        <v>999</v>
      </c>
      <c r="D57" s="85" t="s">
        <v>544</v>
      </c>
      <c r="E57" s="85" t="s">
        <v>29</v>
      </c>
      <c r="F57" s="86" t="n">
        <v>1</v>
      </c>
      <c r="G57" s="85" t="s">
        <v>548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996</v>
      </c>
      <c r="P57" s="1" t="n">
        <f aca="false">IFERROR(IF(LEFT(D57,1)="K",VLOOKUP(D57,Kit_Catalog!$A:$K,8,FALSE()),VLOOKUP(D57,Additional_Supply_Catalog!$A:$K,7,FALSE())),"")</f>
        <v>44.89</v>
      </c>
      <c r="Q57" s="1" t="n">
        <f aca="false">IFERROR(IF(LEFT(D57,1)="K",VLOOKUP(D57,Kit_Catalog!$A:$K,7,FALSE()),VLOOKUP(D57,Additional_Supply_Catalog!$A:$K,8,FALSE())),"")</f>
        <v>250</v>
      </c>
      <c r="R57" s="1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1010</v>
      </c>
      <c r="B58" s="85" t="s">
        <v>901</v>
      </c>
      <c r="C58" s="85" t="s">
        <v>1008</v>
      </c>
      <c r="D58" s="85" t="s">
        <v>388</v>
      </c>
      <c r="E58" s="85" t="s">
        <v>29</v>
      </c>
      <c r="F58" s="86" t="n">
        <v>1</v>
      </c>
      <c r="G58" s="85" t="s">
        <v>1005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1000</v>
      </c>
      <c r="P58" s="1" t="n">
        <f aca="false">IFERROR(IF(LEFT(D58,1)="K",VLOOKUP(D58,Kit_Catalog!$A:$K,8,FALSE()),VLOOKUP(D58,Additional_Supply_Catalog!$A:$K,7,FALSE())),"")</f>
        <v>0</v>
      </c>
      <c r="Q58" s="1" t="n">
        <f aca="false">IFERROR(IF(LEFT(D58,1)="K",VLOOKUP(D58,Kit_Catalog!$A:$K,7,FALSE()),VLOOKUP(D58,Additional_Supply_Catalog!$A:$K,8,FALSE())),"")</f>
        <v>0</v>
      </c>
      <c r="R58" s="1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1011</v>
      </c>
      <c r="B59" s="96" t="s">
        <v>901</v>
      </c>
      <c r="C59" s="96" t="s">
        <v>354</v>
      </c>
      <c r="D59" s="96" t="s">
        <v>353</v>
      </c>
      <c r="E59" s="96" t="s">
        <v>33</v>
      </c>
      <c r="F59" s="97" t="n">
        <v>0.102</v>
      </c>
      <c r="G59" s="96" t="s">
        <v>337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990</v>
      </c>
      <c r="P59" s="1" t="n">
        <f aca="false">IFERROR(IF(LEFT(D59,1)="K",VLOOKUP(D59,Kit_Catalog!$A:$K,8,FALSE()),VLOOKUP(D59,Additional_Supply_Catalog!$A:$K,7,FALSE())),"")</f>
        <v>49.9</v>
      </c>
      <c r="Q59" s="1" t="n">
        <f aca="false">IFERROR(IF(LEFT(D59,1)="K",VLOOKUP(D59,Kit_Catalog!$A:$K,7,FALSE()),VLOOKUP(D59,Additional_Supply_Catalog!$A:$K,8,FALSE())),"")</f>
        <v>250</v>
      </c>
      <c r="R59" s="1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1011</v>
      </c>
      <c r="B60" s="96" t="s">
        <v>901</v>
      </c>
      <c r="C60" s="96" t="s">
        <v>991</v>
      </c>
      <c r="D60" s="96" t="s">
        <v>346</v>
      </c>
      <c r="E60" s="96" t="s">
        <v>33</v>
      </c>
      <c r="F60" s="97" t="n">
        <v>1.1</v>
      </c>
      <c r="G60" s="96" t="s">
        <v>337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990</v>
      </c>
      <c r="P60" s="1" t="n">
        <f aca="false">IFERROR(IF(LEFT(D60,1)="K",VLOOKUP(D60,Kit_Catalog!$A:$K,8,FALSE()),VLOOKUP(D60,Additional_Supply_Catalog!$A:$K,7,FALSE())),"")</f>
        <v>109</v>
      </c>
      <c r="Q60" s="1" t="n">
        <f aca="false">IFERROR(IF(LEFT(D60,1)="K",VLOOKUP(D60,Kit_Catalog!$A:$K,7,FALSE()),VLOOKUP(D60,Additional_Supply_Catalog!$A:$K,8,FALSE())),"")</f>
        <v>500</v>
      </c>
      <c r="R60" s="1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1011</v>
      </c>
      <c r="B61" s="96" t="s">
        <v>901</v>
      </c>
      <c r="C61" s="96" t="s">
        <v>992</v>
      </c>
      <c r="D61" s="96" t="s">
        <v>360</v>
      </c>
      <c r="E61" s="96" t="s">
        <v>33</v>
      </c>
      <c r="F61" s="97" t="n">
        <v>0.349</v>
      </c>
      <c r="G61" s="96" t="s">
        <v>337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990</v>
      </c>
      <c r="P61" s="1" t="n">
        <f aca="false">IFERROR(IF(LEFT(D61,1)="K",VLOOKUP(D61,Kit_Catalog!$A:$K,8,FALSE()),VLOOKUP(D61,Additional_Supply_Catalog!$A:$K,7,FALSE())),"")</f>
        <v>1635.9</v>
      </c>
      <c r="Q61" s="1" t="n">
        <f aca="false">IFERROR(IF(LEFT(D61,1)="K",VLOOKUP(D61,Kit_Catalog!$A:$K,7,FALSE()),VLOOKUP(D61,Additional_Supply_Catalog!$A:$K,8,FALSE())),"")</f>
        <v>60</v>
      </c>
      <c r="R61" s="1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1011</v>
      </c>
      <c r="B62" s="96" t="s">
        <v>901</v>
      </c>
      <c r="C62" s="96" t="s">
        <v>1004</v>
      </c>
      <c r="D62" s="96" t="s">
        <v>375</v>
      </c>
      <c r="E62" s="96" t="s">
        <v>33</v>
      </c>
      <c r="F62" s="97" t="n">
        <v>1</v>
      </c>
      <c r="G62" s="96" t="s">
        <v>1005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996</v>
      </c>
      <c r="P62" s="1" t="n">
        <f aca="false">IFERROR(IF(LEFT(D62,1)="K",VLOOKUP(D62,Kit_Catalog!$A:$K,8,FALSE()),VLOOKUP(D62,Additional_Supply_Catalog!$A:$K,7,FALSE())),"")</f>
        <v>606.25</v>
      </c>
      <c r="Q62" s="1" t="n">
        <f aca="false">IFERROR(IF(LEFT(D62,1)="K",VLOOKUP(D62,Kit_Catalog!$A:$K,7,FALSE()),VLOOKUP(D62,Additional_Supply_Catalog!$A:$K,8,FALSE())),"")</f>
        <v>1</v>
      </c>
      <c r="R62" s="1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1011</v>
      </c>
      <c r="B63" s="96" t="s">
        <v>901</v>
      </c>
      <c r="C63" s="96" t="s">
        <v>1006</v>
      </c>
      <c r="D63" s="96" t="s">
        <v>367</v>
      </c>
      <c r="E63" s="96" t="s">
        <v>33</v>
      </c>
      <c r="F63" s="97" t="n">
        <v>1</v>
      </c>
      <c r="G63" s="96" t="s">
        <v>1005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990</v>
      </c>
      <c r="P63" s="1" t="n">
        <f aca="false">IFERROR(IF(LEFT(D63,1)="K",VLOOKUP(D63,Kit_Catalog!$A:$K,8,FALSE()),VLOOKUP(D63,Additional_Supply_Catalog!$A:$K,7,FALSE())),"")</f>
        <v>426.65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1011</v>
      </c>
      <c r="B64" s="96" t="s">
        <v>901</v>
      </c>
      <c r="C64" s="96" t="s">
        <v>1007</v>
      </c>
      <c r="D64" s="96" t="s">
        <v>579</v>
      </c>
      <c r="E64" s="96" t="s">
        <v>33</v>
      </c>
      <c r="F64" s="97" t="n">
        <v>1</v>
      </c>
      <c r="G64" s="96" t="s">
        <v>548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996</v>
      </c>
      <c r="P64" s="1" t="n">
        <f aca="false">IFERROR(IF(LEFT(D64,1)="K",VLOOKUP(D64,Kit_Catalog!$A:$K,8,FALSE()),VLOOKUP(D64,Additional_Supply_Catalog!$A:$K,7,FALSE())),"")</f>
        <v>135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1011</v>
      </c>
      <c r="B65" s="96" t="s">
        <v>901</v>
      </c>
      <c r="C65" s="96" t="s">
        <v>993</v>
      </c>
      <c r="D65" s="96" t="s">
        <v>557</v>
      </c>
      <c r="E65" s="96" t="s">
        <v>33</v>
      </c>
      <c r="F65" s="97" t="n">
        <v>0.25</v>
      </c>
      <c r="G65" s="96" t="s">
        <v>562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994</v>
      </c>
      <c r="P65" s="1" t="n">
        <f aca="false">IFERROR(IF(LEFT(D65,1)="K",VLOOKUP(D65,Kit_Catalog!$A:$K,8,FALSE()),VLOOKUP(D65,Additional_Supply_Catalog!$A:$K,7,FALSE())),"")</f>
        <v>97.55</v>
      </c>
      <c r="Q65" s="1" t="n">
        <f aca="false">IFERROR(IF(LEFT(D65,1)="K",VLOOKUP(D65,Kit_Catalog!$A:$K,7,FALSE()),VLOOKUP(D65,Additional_Supply_Catalog!$A:$K,8,FALSE())),"")</f>
        <v>125</v>
      </c>
      <c r="R65" s="1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1011</v>
      </c>
      <c r="B66" s="96" t="s">
        <v>901</v>
      </c>
      <c r="C66" s="96" t="s">
        <v>997</v>
      </c>
      <c r="D66" s="96" t="s">
        <v>536</v>
      </c>
      <c r="E66" s="96" t="s">
        <v>33</v>
      </c>
      <c r="F66" s="97" t="n">
        <v>4</v>
      </c>
      <c r="G66" s="96" t="s">
        <v>534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8.8</v>
      </c>
      <c r="K66" s="101" t="n">
        <f aca="false">IF(ISNUMBER(MATCH(G66,{"tube","each","plate","vial","kit","bottle","aliquot","strainer","cap","lane-rxn","tip","strip","lane","channel","library","sample"},0)),ROUNDUP(J66,0),ROUND(J66,2))</f>
        <v>9</v>
      </c>
      <c r="L66" s="91" t="n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>0.0187916666666667</v>
      </c>
      <c r="M66" s="92" t="n">
        <f aca="false">IFERROR(F66*L66,"")</f>
        <v>0.0751666666666667</v>
      </c>
      <c r="N66" s="93" t="n">
        <f aca="false">IFERROR(J66*L66,"")</f>
        <v>0.165366666666667</v>
      </c>
      <c r="O66" s="102" t="s">
        <v>996</v>
      </c>
      <c r="P66" s="1" t="n">
        <f aca="false">IFERROR(IF(LEFT(D66,1)="K",VLOOKUP(D66,Kit_Catalog!$A:$K,8,FALSE()),VLOOKUP(D66,Additional_Supply_Catalog!$A:$K,7,FALSE())),"")</f>
        <v>180.4</v>
      </c>
      <c r="Q66" s="1" t="n">
        <f aca="false">IFERROR(IF(LEFT(D66,1)="K",VLOOKUP(D66,Kit_Catalog!$A:$K,7,FALSE()),VLOOKUP(D66,Additional_Supply_Catalog!$A:$K,8,FALSE())),"")</f>
        <v>9600</v>
      </c>
      <c r="R66" s="1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1011</v>
      </c>
      <c r="B67" s="96" t="s">
        <v>901</v>
      </c>
      <c r="C67" s="96" t="s">
        <v>998</v>
      </c>
      <c r="D67" s="96" t="s">
        <v>540</v>
      </c>
      <c r="E67" s="96" t="s">
        <v>33</v>
      </c>
      <c r="F67" s="97" t="n">
        <v>2</v>
      </c>
      <c r="G67" s="96" t="s">
        <v>534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4.4</v>
      </c>
      <c r="K67" s="101" t="n">
        <f aca="false">IF(ISNUMBER(MATCH(G67,{"tube","each","plate","vial","kit","bottle","aliquot","strainer","cap","lane-rxn","tip","strip","lane","channel","library","sample"},0)),ROUNDUP(J67,0),ROUND(J67,2))</f>
        <v>5</v>
      </c>
      <c r="L67" s="91" t="n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>0.0187916666666667</v>
      </c>
      <c r="M67" s="92" t="n">
        <f aca="false">IFERROR(F67*L67,"")</f>
        <v>0.0375833333333333</v>
      </c>
      <c r="N67" s="93" t="n">
        <f aca="false">IFERROR(J67*L67,"")</f>
        <v>0.0826833333333333</v>
      </c>
      <c r="O67" s="102" t="s">
        <v>996</v>
      </c>
      <c r="P67" s="1" t="n">
        <f aca="false">IFERROR(IF(LEFT(D67,1)="K",VLOOKUP(D67,Kit_Catalog!$A:$K,8,FALSE()),VLOOKUP(D67,Additional_Supply_Catalog!$A:$K,7,FALSE())),"")</f>
        <v>180.4</v>
      </c>
      <c r="Q67" s="1" t="n">
        <f aca="false">IFERROR(IF(LEFT(D67,1)="K",VLOOKUP(D67,Kit_Catalog!$A:$K,7,FALSE()),VLOOKUP(D67,Additional_Supply_Catalog!$A:$K,8,FALSE())),"")</f>
        <v>9600</v>
      </c>
      <c r="R67" s="1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1011</v>
      </c>
      <c r="B68" s="96" t="s">
        <v>901</v>
      </c>
      <c r="C68" s="96" t="s">
        <v>999</v>
      </c>
      <c r="D68" s="96" t="s">
        <v>544</v>
      </c>
      <c r="E68" s="96" t="s">
        <v>33</v>
      </c>
      <c r="F68" s="97" t="n">
        <v>1</v>
      </c>
      <c r="G68" s="96" t="s">
        <v>548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996</v>
      </c>
      <c r="P68" s="1" t="n">
        <f aca="false">IFERROR(IF(LEFT(D68,1)="K",VLOOKUP(D68,Kit_Catalog!$A:$K,8,FALSE()),VLOOKUP(D68,Additional_Supply_Catalog!$A:$K,7,FALSE())),"")</f>
        <v>44.89</v>
      </c>
      <c r="Q68" s="1" t="n">
        <f aca="false">IFERROR(IF(LEFT(D68,1)="K",VLOOKUP(D68,Kit_Catalog!$A:$K,7,FALSE()),VLOOKUP(D68,Additional_Supply_Catalog!$A:$K,8,FALSE())),"")</f>
        <v>250</v>
      </c>
      <c r="R68" s="1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1011</v>
      </c>
      <c r="B69" s="96" t="s">
        <v>901</v>
      </c>
      <c r="C69" s="96" t="s">
        <v>1008</v>
      </c>
      <c r="D69" s="96" t="s">
        <v>388</v>
      </c>
      <c r="E69" s="96" t="s">
        <v>33</v>
      </c>
      <c r="F69" s="97" t="n">
        <v>1</v>
      </c>
      <c r="G69" s="96" t="s">
        <v>1005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1000</v>
      </c>
      <c r="P69" s="1" t="n">
        <f aca="false">IFERROR(IF(LEFT(D69,1)="K",VLOOKUP(D69,Kit_Catalog!$A:$K,8,FALSE()),VLOOKUP(D69,Additional_Supply_Catalog!$A:$K,7,FALSE())),"")</f>
        <v>0</v>
      </c>
      <c r="Q69" s="1" t="n">
        <f aca="false">IFERROR(IF(LEFT(D69,1)="K",VLOOKUP(D69,Kit_Catalog!$A:$K,7,FALSE()),VLOOKUP(D69,Additional_Supply_Catalog!$A:$K,8,FALSE())),"")</f>
        <v>0</v>
      </c>
      <c r="R69" s="1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1011</v>
      </c>
      <c r="B70" s="96" t="s">
        <v>901</v>
      </c>
      <c r="C70" s="96" t="s">
        <v>1012</v>
      </c>
      <c r="D70" s="96" t="s">
        <v>614</v>
      </c>
      <c r="E70" s="96" t="s">
        <v>33</v>
      </c>
      <c r="F70" s="97" t="n">
        <v>100</v>
      </c>
      <c r="G70" s="96" t="s">
        <v>397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996</v>
      </c>
      <c r="P70" s="1" t="n">
        <f aca="false">IFERROR(IF(LEFT(D70,1)="K",VLOOKUP(D70,Kit_Catalog!$A:$K,8,FALSE()),VLOOKUP(D70,Additional_Supply_Catalog!$A:$K,7,FALSE())),"")</f>
        <v>0</v>
      </c>
      <c r="Q70" s="1" t="n">
        <f aca="false">IFERROR(IF(LEFT(D70,1)="K",VLOOKUP(D70,Kit_Catalog!$A:$K,7,FALSE()),VLOOKUP(D70,Additional_Supply_Catalog!$A:$K,8,FALSE())),"")</f>
        <v>1</v>
      </c>
      <c r="R70" s="1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1011</v>
      </c>
      <c r="B71" s="96" t="s">
        <v>901</v>
      </c>
      <c r="C71" s="96" t="s">
        <v>1013</v>
      </c>
      <c r="D71" s="96" t="s">
        <v>619</v>
      </c>
      <c r="E71" s="96" t="s">
        <v>33</v>
      </c>
      <c r="F71" s="97" t="n">
        <v>5</v>
      </c>
      <c r="G71" s="96" t="s">
        <v>397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996</v>
      </c>
      <c r="P71" s="1" t="n">
        <f aca="false">IFERROR(IF(LEFT(D71,1)="K",VLOOKUP(D71,Kit_Catalog!$A:$K,8,FALSE()),VLOOKUP(D71,Additional_Supply_Catalog!$A:$K,7,FALSE())),"")</f>
        <v>0</v>
      </c>
      <c r="Q71" s="1" t="n">
        <f aca="false">IFERROR(IF(LEFT(D71,1)="K",VLOOKUP(D71,Kit_Catalog!$A:$K,7,FALSE()),VLOOKUP(D71,Additional_Supply_Catalog!$A:$K,8,FALSE())),"")</f>
        <v>1</v>
      </c>
      <c r="R71" s="1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1011</v>
      </c>
      <c r="B72" s="96" t="s">
        <v>901</v>
      </c>
      <c r="C72" s="96" t="s">
        <v>1014</v>
      </c>
      <c r="D72" s="96" t="s">
        <v>435</v>
      </c>
      <c r="E72" s="96" t="s">
        <v>33</v>
      </c>
      <c r="F72" s="97" t="n">
        <v>5</v>
      </c>
      <c r="G72" s="96" t="s">
        <v>397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1000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0</v>
      </c>
      <c r="R72" s="1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1015</v>
      </c>
      <c r="B73" s="85" t="s">
        <v>901</v>
      </c>
      <c r="C73" s="85" t="s">
        <v>264</v>
      </c>
      <c r="D73" s="85" t="s">
        <v>261</v>
      </c>
      <c r="E73" s="85" t="s">
        <v>31</v>
      </c>
      <c r="F73" s="86" t="n">
        <v>1</v>
      </c>
      <c r="G73" s="85" t="s">
        <v>971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989</v>
      </c>
      <c r="P73" s="1" t="n">
        <f aca="false">IFERROR(IF(LEFT(D73,1)="K",VLOOKUP(D73,Kit_Catalog!$A:$K,8,FALSE()),VLOOKUP(D73,Additional_Supply_Catalog!$A:$K,7,FALSE())),"")</f>
        <v>25000</v>
      </c>
      <c r="Q73" s="1" t="n">
        <f aca="false">IFERROR(IF(LEFT(D73,1)="K",VLOOKUP(D73,Kit_Catalog!$A:$K,7,FALSE()),VLOOKUP(D73,Additional_Supply_Catalog!$A:$K,8,FALSE())),"")</f>
        <v>16</v>
      </c>
      <c r="R73" s="1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1015</v>
      </c>
      <c r="B74" s="85" t="s">
        <v>901</v>
      </c>
      <c r="C74" s="85" t="s">
        <v>268</v>
      </c>
      <c r="D74" s="85" t="s">
        <v>267</v>
      </c>
      <c r="E74" s="85" t="s">
        <v>31</v>
      </c>
      <c r="F74" s="86" t="n">
        <v>1</v>
      </c>
      <c r="G74" s="85" t="s">
        <v>971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989</v>
      </c>
      <c r="P74" s="1" t="n">
        <f aca="false">IFERROR(IF(LEFT(D74,1)="K",VLOOKUP(D74,Kit_Catalog!$A:$K,8,FALSE()),VLOOKUP(D74,Additional_Supply_Catalog!$A:$K,7,FALSE())),"")</f>
        <v>1800</v>
      </c>
      <c r="Q74" s="1" t="n">
        <f aca="false">IFERROR(IF(LEFT(D74,1)="K",VLOOKUP(D74,Kit_Catalog!$A:$K,7,FALSE()),VLOOKUP(D74,Additional_Supply_Catalog!$A:$K,8,FALSE())),"")</f>
        <v>48</v>
      </c>
      <c r="R74" s="1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1015</v>
      </c>
      <c r="B75" s="85" t="s">
        <v>901</v>
      </c>
      <c r="C75" s="85" t="s">
        <v>276</v>
      </c>
      <c r="D75" s="85" t="s">
        <v>275</v>
      </c>
      <c r="E75" s="85" t="s">
        <v>31</v>
      </c>
      <c r="F75" s="86" t="n">
        <v>1</v>
      </c>
      <c r="G75" s="85" t="s">
        <v>971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989</v>
      </c>
      <c r="P75" s="1" t="n">
        <f aca="false">IFERROR(IF(LEFT(D75,1)="K",VLOOKUP(D75,Kit_Catalog!$A:$K,8,FALSE()),VLOOKUP(D75,Additional_Supply_Catalog!$A:$K,7,FALSE())),"")</f>
        <v>960</v>
      </c>
      <c r="Q75" s="1" t="n">
        <f aca="false">IFERROR(IF(LEFT(D75,1)="K",VLOOKUP(D75,Kit_Catalog!$A:$K,7,FALSE()),VLOOKUP(D75,Additional_Supply_Catalog!$A:$K,8,FALSE())),"")</f>
        <v>96</v>
      </c>
      <c r="R75" s="1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1015</v>
      </c>
      <c r="B76" s="85" t="s">
        <v>901</v>
      </c>
      <c r="C76" s="85" t="s">
        <v>354</v>
      </c>
      <c r="D76" s="85" t="s">
        <v>353</v>
      </c>
      <c r="E76" s="85" t="s">
        <v>31</v>
      </c>
      <c r="F76" s="86" t="n">
        <v>0.1185</v>
      </c>
      <c r="G76" s="85" t="s">
        <v>337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990</v>
      </c>
      <c r="P76" s="1" t="n">
        <f aca="false">IFERROR(IF(LEFT(D76,1)="K",VLOOKUP(D76,Kit_Catalog!$A:$K,8,FALSE()),VLOOKUP(D76,Additional_Supply_Catalog!$A:$K,7,FALSE())),"")</f>
        <v>49.9</v>
      </c>
      <c r="Q76" s="1" t="n">
        <f aca="false">IFERROR(IF(LEFT(D76,1)="K",VLOOKUP(D76,Kit_Catalog!$A:$K,7,FALSE()),VLOOKUP(D76,Additional_Supply_Catalog!$A:$K,8,FALSE())),"")</f>
        <v>250</v>
      </c>
      <c r="R76" s="1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1015</v>
      </c>
      <c r="B77" s="85" t="s">
        <v>901</v>
      </c>
      <c r="C77" s="85" t="s">
        <v>991</v>
      </c>
      <c r="D77" s="85" t="s">
        <v>346</v>
      </c>
      <c r="E77" s="85" t="s">
        <v>31</v>
      </c>
      <c r="F77" s="86" t="n">
        <v>1.3</v>
      </c>
      <c r="G77" s="85" t="s">
        <v>337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990</v>
      </c>
      <c r="P77" s="1" t="n">
        <f aca="false">IFERROR(IF(LEFT(D77,1)="K",VLOOKUP(D77,Kit_Catalog!$A:$K,8,FALSE()),VLOOKUP(D77,Additional_Supply_Catalog!$A:$K,7,FALSE())),"")</f>
        <v>109</v>
      </c>
      <c r="Q77" s="1" t="n">
        <f aca="false">IFERROR(IF(LEFT(D77,1)="K",VLOOKUP(D77,Kit_Catalog!$A:$K,7,FALSE()),VLOOKUP(D77,Additional_Supply_Catalog!$A:$K,8,FALSE())),"")</f>
        <v>500</v>
      </c>
      <c r="R77" s="1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1015</v>
      </c>
      <c r="B78" s="85" t="s">
        <v>901</v>
      </c>
      <c r="C78" s="85" t="s">
        <v>992</v>
      </c>
      <c r="D78" s="85" t="s">
        <v>360</v>
      </c>
      <c r="E78" s="85" t="s">
        <v>31</v>
      </c>
      <c r="F78" s="86" t="n">
        <v>0.162</v>
      </c>
      <c r="G78" s="85" t="s">
        <v>337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990</v>
      </c>
      <c r="P78" s="1" t="n">
        <f aca="false">IFERROR(IF(LEFT(D78,1)="K",VLOOKUP(D78,Kit_Catalog!$A:$K,8,FALSE()),VLOOKUP(D78,Additional_Supply_Catalog!$A:$K,7,FALSE())),"")</f>
        <v>1635.9</v>
      </c>
      <c r="Q78" s="1" t="n">
        <f aca="false">IFERROR(IF(LEFT(D78,1)="K",VLOOKUP(D78,Kit_Catalog!$A:$K,7,FALSE()),VLOOKUP(D78,Additional_Supply_Catalog!$A:$K,8,FALSE())),"")</f>
        <v>60</v>
      </c>
      <c r="R78" s="1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1015</v>
      </c>
      <c r="B79" s="85" t="s">
        <v>901</v>
      </c>
      <c r="C79" s="85" t="s">
        <v>1004</v>
      </c>
      <c r="D79" s="85" t="s">
        <v>375</v>
      </c>
      <c r="E79" s="85" t="s">
        <v>31</v>
      </c>
      <c r="F79" s="86" t="n">
        <v>1</v>
      </c>
      <c r="G79" s="85" t="s">
        <v>1005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996</v>
      </c>
      <c r="P79" s="1" t="n">
        <f aca="false">IFERROR(IF(LEFT(D79,1)="K",VLOOKUP(D79,Kit_Catalog!$A:$K,8,FALSE()),VLOOKUP(D79,Additional_Supply_Catalog!$A:$K,7,FALSE())),"")</f>
        <v>606.25</v>
      </c>
      <c r="Q79" s="1" t="n">
        <f aca="false">IFERROR(IF(LEFT(D79,1)="K",VLOOKUP(D79,Kit_Catalog!$A:$K,7,FALSE()),VLOOKUP(D79,Additional_Supply_Catalog!$A:$K,8,FALSE())),"")</f>
        <v>1</v>
      </c>
      <c r="R79" s="1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1015</v>
      </c>
      <c r="B80" s="85" t="s">
        <v>901</v>
      </c>
      <c r="C80" s="85" t="s">
        <v>1006</v>
      </c>
      <c r="D80" s="85" t="s">
        <v>367</v>
      </c>
      <c r="E80" s="85" t="s">
        <v>31</v>
      </c>
      <c r="F80" s="86" t="n">
        <v>1</v>
      </c>
      <c r="G80" s="85" t="s">
        <v>1005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990</v>
      </c>
      <c r="P80" s="1" t="n">
        <f aca="false">IFERROR(IF(LEFT(D80,1)="K",VLOOKUP(D80,Kit_Catalog!$A:$K,8,FALSE()),VLOOKUP(D80,Additional_Supply_Catalog!$A:$K,7,FALSE())),"")</f>
        <v>426.65</v>
      </c>
      <c r="Q80" s="1" t="n">
        <f aca="false">IFERROR(IF(LEFT(D80,1)="K",VLOOKUP(D80,Kit_Catalog!$A:$K,7,FALSE()),VLOOKUP(D80,Additional_Supply_Catalog!$A:$K,8,FALSE())),"")</f>
        <v>500</v>
      </c>
      <c r="R80" s="1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1015</v>
      </c>
      <c r="B81" s="85" t="s">
        <v>901</v>
      </c>
      <c r="C81" s="85" t="s">
        <v>1007</v>
      </c>
      <c r="D81" s="85" t="s">
        <v>579</v>
      </c>
      <c r="E81" s="85" t="s">
        <v>31</v>
      </c>
      <c r="F81" s="86" t="n">
        <v>1</v>
      </c>
      <c r="G81" s="85" t="s">
        <v>548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996</v>
      </c>
      <c r="P81" s="1" t="n">
        <f aca="false">IFERROR(IF(LEFT(D81,1)="K",VLOOKUP(D81,Kit_Catalog!$A:$K,8,FALSE()),VLOOKUP(D81,Additional_Supply_Catalog!$A:$K,7,FALSE())),"")</f>
        <v>135</v>
      </c>
      <c r="Q81" s="1" t="n">
        <f aca="false">IFERROR(IF(LEFT(D81,1)="K",VLOOKUP(D81,Kit_Catalog!$A:$K,7,FALSE()),VLOOKUP(D81,Additional_Supply_Catalog!$A:$K,8,FALSE())),"")</f>
        <v>500</v>
      </c>
      <c r="R81" s="1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1015</v>
      </c>
      <c r="B82" s="85" t="s">
        <v>901</v>
      </c>
      <c r="C82" s="85" t="s">
        <v>993</v>
      </c>
      <c r="D82" s="85" t="s">
        <v>557</v>
      </c>
      <c r="E82" s="85" t="s">
        <v>31</v>
      </c>
      <c r="F82" s="86" t="n">
        <v>0.125</v>
      </c>
      <c r="G82" s="85" t="s">
        <v>562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994</v>
      </c>
      <c r="P82" s="1" t="n">
        <f aca="false">IFERROR(IF(LEFT(D82,1)="K",VLOOKUP(D82,Kit_Catalog!$A:$K,8,FALSE()),VLOOKUP(D82,Additional_Supply_Catalog!$A:$K,7,FALSE())),"")</f>
        <v>97.55</v>
      </c>
      <c r="Q82" s="1" t="n">
        <f aca="false">IFERROR(IF(LEFT(D82,1)="K",VLOOKUP(D82,Kit_Catalog!$A:$K,7,FALSE()),VLOOKUP(D82,Additional_Supply_Catalog!$A:$K,8,FALSE())),"")</f>
        <v>125</v>
      </c>
      <c r="R82" s="1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1015</v>
      </c>
      <c r="B83" s="85" t="s">
        <v>901</v>
      </c>
      <c r="C83" s="85" t="s">
        <v>997</v>
      </c>
      <c r="D83" s="85" t="s">
        <v>536</v>
      </c>
      <c r="E83" s="85" t="s">
        <v>31</v>
      </c>
      <c r="F83" s="86" t="n">
        <v>3</v>
      </c>
      <c r="G83" s="85" t="s">
        <v>534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6.6</v>
      </c>
      <c r="K83" s="90" t="n">
        <f aca="false">IF(ISNUMBER(MATCH(G83,{"tube","each","plate","vial","kit","bottle","aliquot","strainer","cap","lane-rxn","tip","strip","lane","channel","library","sample"},0)),ROUNDUP(J83,0),ROUND(J83,2))</f>
        <v>7</v>
      </c>
      <c r="L83" s="91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0.0187916666666667</v>
      </c>
      <c r="M83" s="92" t="n">
        <f aca="false">IFERROR(F83*L83,"")</f>
        <v>0.056375</v>
      </c>
      <c r="N83" s="93" t="n">
        <f aca="false">IFERROR(J83*L83,"")</f>
        <v>0.124025</v>
      </c>
      <c r="O83" s="94" t="s">
        <v>996</v>
      </c>
      <c r="P83" s="1" t="n">
        <f aca="false">IFERROR(IF(LEFT(D83,1)="K",VLOOKUP(D83,Kit_Catalog!$A:$K,8,FALSE()),VLOOKUP(D83,Additional_Supply_Catalog!$A:$K,7,FALSE())),"")</f>
        <v>180.4</v>
      </c>
      <c r="Q83" s="1" t="n">
        <f aca="false">IFERROR(IF(LEFT(D83,1)="K",VLOOKUP(D83,Kit_Catalog!$A:$K,7,FALSE()),VLOOKUP(D83,Additional_Supply_Catalog!$A:$K,8,FALSE())),"")</f>
        <v>9600</v>
      </c>
      <c r="R83" s="1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1015</v>
      </c>
      <c r="B84" s="85" t="s">
        <v>901</v>
      </c>
      <c r="C84" s="85" t="s">
        <v>999</v>
      </c>
      <c r="D84" s="85" t="s">
        <v>544</v>
      </c>
      <c r="E84" s="85" t="s">
        <v>31</v>
      </c>
      <c r="F84" s="86" t="n">
        <v>1</v>
      </c>
      <c r="G84" s="85" t="s">
        <v>548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996</v>
      </c>
      <c r="P84" s="1" t="n">
        <f aca="false">IFERROR(IF(LEFT(D84,1)="K",VLOOKUP(D84,Kit_Catalog!$A:$K,8,FALSE()),VLOOKUP(D84,Additional_Supply_Catalog!$A:$K,7,FALSE())),"")</f>
        <v>44.89</v>
      </c>
      <c r="Q84" s="1" t="n">
        <f aca="false">IFERROR(IF(LEFT(D84,1)="K",VLOOKUP(D84,Kit_Catalog!$A:$K,7,FALSE()),VLOOKUP(D84,Additional_Supply_Catalog!$A:$K,8,FALSE())),"")</f>
        <v>250</v>
      </c>
      <c r="R84" s="1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1016</v>
      </c>
      <c r="B85" s="85" t="s">
        <v>896</v>
      </c>
      <c r="C85" s="85" t="s">
        <v>1017</v>
      </c>
      <c r="D85" s="85"/>
      <c r="E85" s="85" t="s">
        <v>898</v>
      </c>
      <c r="F85" s="88"/>
      <c r="G85" s="85" t="s">
        <v>337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1018</v>
      </c>
    </row>
    <row r="86" customFormat="false" ht="21.75" hidden="false" customHeight="true" outlineLevel="0" collapsed="false">
      <c r="A86" s="85" t="s">
        <v>1016</v>
      </c>
      <c r="B86" s="85" t="s">
        <v>896</v>
      </c>
      <c r="C86" s="85" t="s">
        <v>1019</v>
      </c>
      <c r="D86" s="85"/>
      <c r="E86" s="85" t="s">
        <v>898</v>
      </c>
      <c r="F86" s="88"/>
      <c r="G86" s="85" t="s">
        <v>337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1020</v>
      </c>
    </row>
    <row r="87" customFormat="false" ht="21.75" hidden="false" customHeight="true" outlineLevel="0" collapsed="false">
      <c r="A87" s="85" t="s">
        <v>1016</v>
      </c>
      <c r="B87" s="85" t="s">
        <v>901</v>
      </c>
      <c r="C87" s="85" t="s">
        <v>1021</v>
      </c>
      <c r="D87" s="85" t="s">
        <v>301</v>
      </c>
      <c r="E87" s="85" t="s">
        <v>39</v>
      </c>
      <c r="F87" s="88" t="n">
        <v>1</v>
      </c>
      <c r="G87" s="85" t="s">
        <v>1005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1022</v>
      </c>
      <c r="P87" s="1" t="n">
        <f aca="false">IFERROR(IF(LEFT(D87,1)="K",VLOOKUP(D87,Kit_Catalog!$A:$K,8,FALSE()),VLOOKUP(D87,Additional_Supply_Catalog!$A:$K,7,FALSE())),"")</f>
        <v>960</v>
      </c>
      <c r="Q87" s="1" t="n">
        <f aca="false">IFERROR(IF(LEFT(D87,1)="K",VLOOKUP(D87,Kit_Catalog!$A:$K,7,FALSE()),VLOOKUP(D87,Additional_Supply_Catalog!$A:$K,8,FALSE())),"")</f>
        <v>96</v>
      </c>
      <c r="R87" s="1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1016</v>
      </c>
      <c r="B88" s="85" t="s">
        <v>901</v>
      </c>
      <c r="C88" s="85" t="s">
        <v>361</v>
      </c>
      <c r="D88" s="85" t="s">
        <v>360</v>
      </c>
      <c r="E88" s="85" t="s">
        <v>39</v>
      </c>
      <c r="F88" s="88" t="n">
        <v>0.16</v>
      </c>
      <c r="G88" s="85" t="s">
        <v>337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1023</v>
      </c>
      <c r="P88" s="1" t="n">
        <f aca="false">IFERROR(IF(LEFT(D88,1)="K",VLOOKUP(D88,Kit_Catalog!$A:$K,8,FALSE()),VLOOKUP(D88,Additional_Supply_Catalog!$A:$K,7,FALSE())),"")</f>
        <v>1635.9</v>
      </c>
      <c r="Q88" s="1" t="n">
        <f aca="false">IFERROR(IF(LEFT(D88,1)="K",VLOOKUP(D88,Kit_Catalog!$A:$K,7,FALSE()),VLOOKUP(D88,Additional_Supply_Catalog!$A:$K,8,FALSE())),"")</f>
        <v>60</v>
      </c>
      <c r="R88" s="1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1016</v>
      </c>
      <c r="B89" s="85" t="s">
        <v>901</v>
      </c>
      <c r="C89" s="85" t="s">
        <v>354</v>
      </c>
      <c r="D89" s="85" t="s">
        <v>353</v>
      </c>
      <c r="E89" s="85" t="s">
        <v>39</v>
      </c>
      <c r="F89" s="88" t="n">
        <v>0.081</v>
      </c>
      <c r="G89" s="85" t="s">
        <v>337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1024</v>
      </c>
      <c r="P89" s="1" t="n">
        <f aca="false">IFERROR(IF(LEFT(D89,1)="K",VLOOKUP(D89,Kit_Catalog!$A:$K,8,FALSE()),VLOOKUP(D89,Additional_Supply_Catalog!$A:$K,7,FALSE())),"")</f>
        <v>49.9</v>
      </c>
      <c r="Q89" s="1" t="n">
        <f aca="false">IFERROR(IF(LEFT(D89,1)="K",VLOOKUP(D89,Kit_Catalog!$A:$K,7,FALSE()),VLOOKUP(D89,Additional_Supply_Catalog!$A:$K,8,FALSE())),"")</f>
        <v>250</v>
      </c>
      <c r="R89" s="1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1016</v>
      </c>
      <c r="B90" s="85" t="s">
        <v>901</v>
      </c>
      <c r="C90" s="85" t="s">
        <v>348</v>
      </c>
      <c r="D90" s="85" t="s">
        <v>346</v>
      </c>
      <c r="E90" s="85" t="s">
        <v>39</v>
      </c>
      <c r="F90" s="88" t="n">
        <v>0.8</v>
      </c>
      <c r="G90" s="85" t="s">
        <v>337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1025</v>
      </c>
      <c r="P90" s="1" t="n">
        <f aca="false">IFERROR(IF(LEFT(D90,1)="K",VLOOKUP(D90,Kit_Catalog!$A:$K,8,FALSE()),VLOOKUP(D90,Additional_Supply_Catalog!$A:$K,7,FALSE())),"")</f>
        <v>109</v>
      </c>
      <c r="Q90" s="1" t="n">
        <f aca="false">IFERROR(IF(LEFT(D90,1)="K",VLOOKUP(D90,Kit_Catalog!$A:$K,7,FALSE()),VLOOKUP(D90,Additional_Supply_Catalog!$A:$K,8,FALSE())),"")</f>
        <v>500</v>
      </c>
      <c r="R90" s="1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1016</v>
      </c>
      <c r="B91" s="85" t="s">
        <v>901</v>
      </c>
      <c r="C91" s="85" t="s">
        <v>369</v>
      </c>
      <c r="D91" s="85" t="s">
        <v>367</v>
      </c>
      <c r="E91" s="85" t="s">
        <v>39</v>
      </c>
      <c r="F91" s="88" t="n">
        <v>1</v>
      </c>
      <c r="G91" s="85" t="s">
        <v>373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1026</v>
      </c>
      <c r="P91" s="1" t="n">
        <f aca="false">IFERROR(IF(LEFT(D91,1)="K",VLOOKUP(D91,Kit_Catalog!$A:$K,8,FALSE()),VLOOKUP(D91,Additional_Supply_Catalog!$A:$K,7,FALSE())),"")</f>
        <v>426.65</v>
      </c>
      <c r="Q91" s="1" t="n">
        <f aca="false">IFERROR(IF(LEFT(D91,1)="K",VLOOKUP(D91,Kit_Catalog!$A:$K,7,FALSE()),VLOOKUP(D91,Additional_Supply_Catalog!$A:$K,8,FALSE())),"")</f>
        <v>500</v>
      </c>
      <c r="R91" s="1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1016</v>
      </c>
      <c r="B92" s="85" t="s">
        <v>901</v>
      </c>
      <c r="C92" s="85" t="s">
        <v>1007</v>
      </c>
      <c r="D92" s="85" t="s">
        <v>579</v>
      </c>
      <c r="E92" s="85" t="s">
        <v>39</v>
      </c>
      <c r="F92" s="88" t="n">
        <v>1</v>
      </c>
      <c r="G92" s="85" t="s">
        <v>548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1026</v>
      </c>
      <c r="P92" s="1" t="n">
        <f aca="false">IFERROR(IF(LEFT(D92,1)="K",VLOOKUP(D92,Kit_Catalog!$A:$K,8,FALSE()),VLOOKUP(D92,Additional_Supply_Catalog!$A:$K,7,FALSE())),"")</f>
        <v>135</v>
      </c>
      <c r="Q92" s="1" t="n">
        <f aca="false">IFERROR(IF(LEFT(D92,1)="K",VLOOKUP(D92,Kit_Catalog!$A:$K,7,FALSE()),VLOOKUP(D92,Additional_Supply_Catalog!$A:$K,8,FALSE())),"")</f>
        <v>500</v>
      </c>
      <c r="R92" s="1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1016</v>
      </c>
      <c r="B93" s="85" t="s">
        <v>901</v>
      </c>
      <c r="C93" s="85" t="s">
        <v>1027</v>
      </c>
      <c r="D93" s="85" t="s">
        <v>375</v>
      </c>
      <c r="E93" s="85" t="s">
        <v>39</v>
      </c>
      <c r="F93" s="88" t="n">
        <v>1</v>
      </c>
      <c r="G93" s="85" t="s">
        <v>373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1028</v>
      </c>
      <c r="P93" s="1" t="n">
        <f aca="false">IFERROR(IF(LEFT(D93,1)="K",VLOOKUP(D93,Kit_Catalog!$A:$K,8,FALSE()),VLOOKUP(D93,Additional_Supply_Catalog!$A:$K,7,FALSE())),"")</f>
        <v>606.25</v>
      </c>
      <c r="Q93" s="1" t="n">
        <f aca="false">IFERROR(IF(LEFT(D93,1)="K",VLOOKUP(D93,Kit_Catalog!$A:$K,7,FALSE()),VLOOKUP(D93,Additional_Supply_Catalog!$A:$K,8,FALSE())),"")</f>
        <v>1</v>
      </c>
      <c r="R93" s="1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1016</v>
      </c>
      <c r="B94" s="85" t="s">
        <v>901</v>
      </c>
      <c r="C94" s="85" t="s">
        <v>558</v>
      </c>
      <c r="D94" s="85" t="s">
        <v>557</v>
      </c>
      <c r="E94" s="85" t="s">
        <v>39</v>
      </c>
      <c r="F94" s="88" t="n">
        <v>0.125</v>
      </c>
      <c r="G94" s="85" t="s">
        <v>562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1029</v>
      </c>
      <c r="P94" s="1" t="n">
        <f aca="false">IFERROR(IF(LEFT(D94,1)="K",VLOOKUP(D94,Kit_Catalog!$A:$K,8,FALSE()),VLOOKUP(D94,Additional_Supply_Catalog!$A:$K,7,FALSE())),"")</f>
        <v>97.55</v>
      </c>
      <c r="Q94" s="1" t="n">
        <f aca="false">IFERROR(IF(LEFT(D94,1)="K",VLOOKUP(D94,Kit_Catalog!$A:$K,7,FALSE()),VLOOKUP(D94,Additional_Supply_Catalog!$A:$K,8,FALSE())),"")</f>
        <v>125</v>
      </c>
      <c r="R94" s="1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</cols>
  <sheetData>
    <row r="1" customFormat="false" ht="15" hidden="false" customHeight="true" outlineLevel="0" collapsed="false">
      <c r="A1" s="76" t="s">
        <v>880</v>
      </c>
      <c r="B1" s="76" t="s">
        <v>881</v>
      </c>
      <c r="C1" s="76" t="s">
        <v>884</v>
      </c>
      <c r="D1" s="76" t="s">
        <v>1030</v>
      </c>
      <c r="E1" s="76" t="s">
        <v>888</v>
      </c>
      <c r="F1" s="76" t="s">
        <v>7</v>
      </c>
    </row>
    <row r="2" customFormat="false" ht="15" hidden="false" customHeight="true" outlineLevel="0" collapsed="false">
      <c r="A2" s="96" t="s">
        <v>1031</v>
      </c>
      <c r="B2" s="96"/>
      <c r="C2" s="96" t="s">
        <v>534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955</v>
      </c>
      <c r="B3" s="96"/>
      <c r="C3" s="96" t="s">
        <v>571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902</v>
      </c>
      <c r="B4" s="96"/>
      <c r="C4" s="96" t="s">
        <v>548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904</v>
      </c>
      <c r="B5" s="96"/>
      <c r="C5" s="96" t="s">
        <v>905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59.4</v>
      </c>
      <c r="E5" s="108" t="n">
        <f aca="false">IF(ISNUMBER(MATCH(C5,{"tube","each","plate","vial","kit","bottle","aliquot","strainer","cap","lane-rxn","tip","strip","lane","channel","library","sample"},0)),ROUNDUP(D5,0),ROUND(D5,2))</f>
        <v>60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1516.779</v>
      </c>
    </row>
    <row r="6" customFormat="false" ht="15" hidden="false" customHeight="true" outlineLevel="0" collapsed="false">
      <c r="A6" s="96" t="s">
        <v>906</v>
      </c>
      <c r="B6" s="96"/>
      <c r="C6" s="96" t="s">
        <v>373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907</v>
      </c>
      <c r="B7" s="96"/>
      <c r="C7" s="96" t="s">
        <v>337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877.8</v>
      </c>
      <c r="E7" s="108" t="n">
        <f aca="false">IF(ISNUMBER(MATCH(C7,{"tube","each","plate","vial","kit","bottle","aliquot","strainer","cap","lane-rxn","tip","strip","lane","channel","library","sample"},0)),ROUNDUP(D7,0),ROUND(D7,2))</f>
        <v>877.8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11.902968</v>
      </c>
    </row>
    <row r="8" customFormat="false" ht="15" hidden="false" customHeight="true" outlineLevel="0" collapsed="false">
      <c r="A8" s="96" t="s">
        <v>481</v>
      </c>
      <c r="B8" s="96"/>
      <c r="C8" s="96" t="s">
        <v>337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17.82</v>
      </c>
      <c r="E8" s="108" t="n">
        <f aca="false">IF(ISNUMBER(MATCH(C8,{"tube","each","plate","vial","kit","bottle","aliquot","strainer","cap","lane-rxn","tip","strip","lane","channel","library","sample"},0)),ROUNDUP(D8,0),ROUND(D8,2))</f>
        <v>17.82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5.7024</v>
      </c>
    </row>
    <row r="9" customFormat="false" ht="15" hidden="false" customHeight="true" outlineLevel="0" collapsed="false">
      <c r="A9" s="96" t="s">
        <v>909</v>
      </c>
      <c r="B9" s="96"/>
      <c r="C9" s="96" t="s">
        <v>488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75.405</v>
      </c>
      <c r="E9" s="108" t="n">
        <f aca="false">IF(ISNUMBER(MATCH(C9,{"tube","each","plate","vial","kit","bottle","aliquot","strainer","cap","lane-rxn","tip","strip","lane","channel","library","sample"},0)),ROUNDUP(D9,0),ROUND(D9,2))</f>
        <v>75.41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292.5714</v>
      </c>
    </row>
    <row r="10" customFormat="false" ht="15" hidden="false" customHeight="true" outlineLevel="0" collapsed="false">
      <c r="A10" s="96" t="s">
        <v>492</v>
      </c>
      <c r="B10" s="96"/>
      <c r="C10" s="96" t="s">
        <v>397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596</v>
      </c>
      <c r="B11" s="96"/>
      <c r="C11" s="96" t="s">
        <v>373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956</v>
      </c>
      <c r="B12" s="96"/>
      <c r="C12" s="96" t="s">
        <v>337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917</v>
      </c>
      <c r="B13" s="96"/>
      <c r="C13" s="96" t="s">
        <v>571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911</v>
      </c>
      <c r="B14" s="96"/>
      <c r="C14" s="96" t="s">
        <v>548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574</v>
      </c>
      <c r="B15" s="96"/>
      <c r="C15" s="96" t="s">
        <v>373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918</v>
      </c>
      <c r="B16" s="96"/>
      <c r="C16" s="96" t="s">
        <v>548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929</v>
      </c>
      <c r="B17" s="96"/>
      <c r="C17" s="96" t="s">
        <v>397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919</v>
      </c>
      <c r="B18" s="96"/>
      <c r="C18" s="96" t="s">
        <v>397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601</v>
      </c>
      <c r="B19" s="96"/>
      <c r="C19" s="96" t="s">
        <v>397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920</v>
      </c>
      <c r="B20" s="96"/>
      <c r="C20" s="96" t="s">
        <v>397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1032</v>
      </c>
      <c r="B21" s="96"/>
      <c r="C21" s="96" t="s">
        <v>1033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502</v>
      </c>
      <c r="B22" s="96"/>
      <c r="C22" s="96" t="s">
        <v>337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922</v>
      </c>
      <c r="B23" s="96"/>
      <c r="C23" s="96" t="s">
        <v>337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312.895</v>
      </c>
      <c r="E23" s="108" t="n">
        <f aca="false">IF(ISNUMBER(MATCH(C23,{"tube","each","plate","vial","kit","bottle","aliquot","strainer","cap","lane-rxn","tip","strip","lane","channel","library","sample"},0)),ROUNDUP(D23,0),ROUND(D23,2))</f>
        <v>312.9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11.9025258</v>
      </c>
    </row>
    <row r="24" customFormat="false" ht="15" hidden="false" customHeight="true" outlineLevel="0" collapsed="false">
      <c r="A24" s="96" t="s">
        <v>932</v>
      </c>
      <c r="B24" s="96"/>
      <c r="C24" s="96" t="s">
        <v>397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401</v>
      </c>
      <c r="B25" s="96"/>
      <c r="C25" s="96" t="s">
        <v>397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933</v>
      </c>
      <c r="B26" s="96"/>
      <c r="C26" s="96" t="s">
        <v>397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445</v>
      </c>
      <c r="B27" s="96"/>
      <c r="C27" s="96" t="s">
        <v>397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451</v>
      </c>
      <c r="B28" s="96"/>
      <c r="C28" s="96" t="s">
        <v>397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934</v>
      </c>
      <c r="B29" s="96"/>
      <c r="C29" s="96" t="s">
        <v>397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461</v>
      </c>
      <c r="B30" s="96"/>
      <c r="C30" s="96" t="s">
        <v>397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382</v>
      </c>
      <c r="B31" s="96"/>
      <c r="C31" s="96" t="s">
        <v>397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411</v>
      </c>
      <c r="B32" s="96"/>
      <c r="C32" s="96" t="s">
        <v>397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935</v>
      </c>
      <c r="B33" s="96"/>
      <c r="C33" s="96" t="s">
        <v>418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923</v>
      </c>
      <c r="B34" s="96"/>
      <c r="C34" s="96" t="s">
        <v>418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335</v>
      </c>
      <c r="B35" s="96"/>
      <c r="C35" s="96" t="s">
        <v>337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1034</v>
      </c>
      <c r="B36" s="96"/>
      <c r="C36" s="96" t="s">
        <v>1033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917</v>
      </c>
      <c r="B37" s="96"/>
      <c r="C37" s="96" t="s">
        <v>548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937</v>
      </c>
      <c r="B38" s="96"/>
      <c r="C38" s="96" t="s">
        <v>562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1035</v>
      </c>
      <c r="B39" s="96"/>
      <c r="C39" s="96" t="s">
        <v>397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940</v>
      </c>
      <c r="B40" s="96"/>
      <c r="C40" s="96" t="s">
        <v>397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945</v>
      </c>
      <c r="B41" s="96"/>
      <c r="C41" s="96" t="s">
        <v>397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610</v>
      </c>
      <c r="B42" s="96"/>
      <c r="C42" s="96" t="s">
        <v>571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948</v>
      </c>
      <c r="B43" s="96"/>
      <c r="C43" s="96" t="s">
        <v>571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950</v>
      </c>
      <c r="B44" s="96"/>
      <c r="C44" s="96" t="s">
        <v>548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952</v>
      </c>
      <c r="B45" s="96"/>
      <c r="C45" s="96" t="s">
        <v>627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912</v>
      </c>
      <c r="B46" s="96"/>
      <c r="C46" s="96" t="s">
        <v>913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174</v>
      </c>
      <c r="B47" s="96"/>
      <c r="C47" s="96" t="s">
        <v>971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183</v>
      </c>
      <c r="B48" s="96"/>
      <c r="C48" s="96" t="s">
        <v>971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188</v>
      </c>
      <c r="B49" s="96"/>
      <c r="C49" s="96" t="s">
        <v>971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192</v>
      </c>
      <c r="B50" s="96"/>
      <c r="C50" s="96" t="s">
        <v>971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197</v>
      </c>
      <c r="B51" s="96"/>
      <c r="C51" s="96" t="s">
        <v>971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201</v>
      </c>
      <c r="B52" s="96"/>
      <c r="C52" s="96" t="s">
        <v>971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204</v>
      </c>
      <c r="B53" s="96"/>
      <c r="C53" s="96" t="s">
        <v>971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207</v>
      </c>
      <c r="B54" s="96"/>
      <c r="C54" s="96" t="s">
        <v>971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264</v>
      </c>
      <c r="B55" s="96"/>
      <c r="C55" s="96" t="s">
        <v>971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268</v>
      </c>
      <c r="B56" s="96"/>
      <c r="C56" s="96" t="s">
        <v>971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276</v>
      </c>
      <c r="B57" s="96"/>
      <c r="C57" s="96" t="s">
        <v>971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354</v>
      </c>
      <c r="B58" s="96"/>
      <c r="C58" s="96" t="s">
        <v>337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991</v>
      </c>
      <c r="B59" s="96"/>
      <c r="C59" s="96" t="s">
        <v>337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992</v>
      </c>
      <c r="B60" s="96"/>
      <c r="C60" s="96" t="s">
        <v>337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1004</v>
      </c>
      <c r="B61" s="96"/>
      <c r="C61" s="96" t="s">
        <v>1005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1006</v>
      </c>
      <c r="B62" s="96"/>
      <c r="C62" s="96" t="s">
        <v>1005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1007</v>
      </c>
      <c r="B63" s="96"/>
      <c r="C63" s="96" t="s">
        <v>548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993</v>
      </c>
      <c r="B64" s="96"/>
      <c r="C64" s="96" t="s">
        <v>562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995</v>
      </c>
      <c r="B65" s="96"/>
      <c r="C65" s="96" t="s">
        <v>534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8.8</v>
      </c>
      <c r="E65" s="108" t="n">
        <f aca="false">IF(ISNUMBER(MATCH(C65,{"tube","each","plate","vial","kit","bottle","aliquot","strainer","cap","lane-rxn","tip","strip","lane","channel","library","sample"},0)),ROUNDUP(D65,0),ROUND(D65,2))</f>
        <v>9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0.267609375</v>
      </c>
    </row>
    <row r="66" customFormat="false" ht="15" hidden="false" customHeight="true" outlineLevel="0" collapsed="false">
      <c r="A66" s="96" t="s">
        <v>997</v>
      </c>
      <c r="B66" s="96"/>
      <c r="C66" s="96" t="s">
        <v>534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138.6</v>
      </c>
      <c r="E66" s="108" t="n">
        <f aca="false">IF(ISNUMBER(MATCH(C66,{"tube","each","plate","vial","kit","bottle","aliquot","strainer","cap","lane-rxn","tip","strip","lane","channel","library","sample"},0)),ROUNDUP(D66,0),ROUND(D66,2))</f>
        <v>139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2.604525</v>
      </c>
    </row>
    <row r="67" customFormat="false" ht="15" hidden="false" customHeight="true" outlineLevel="0" collapsed="false">
      <c r="A67" s="96" t="s">
        <v>998</v>
      </c>
      <c r="B67" s="96"/>
      <c r="C67" s="96" t="s">
        <v>534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57.2</v>
      </c>
      <c r="E67" s="108" t="n">
        <f aca="false">IF(ISNUMBER(MATCH(C67,{"tube","each","plate","vial","kit","bottle","aliquot","strainer","cap","lane-rxn","tip","strip","lane","channel","library","sample"},0)),ROUNDUP(D67,0),ROUND(D67,2))</f>
        <v>58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1.07488333333333</v>
      </c>
    </row>
    <row r="68" customFormat="false" ht="15" hidden="false" customHeight="true" outlineLevel="0" collapsed="false">
      <c r="A68" s="96" t="s">
        <v>999</v>
      </c>
      <c r="B68" s="96"/>
      <c r="C68" s="96" t="s">
        <v>548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1001</v>
      </c>
      <c r="B69" s="96"/>
      <c r="C69" s="96" t="s">
        <v>373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1008</v>
      </c>
      <c r="B70" s="96"/>
      <c r="C70" s="96" t="s">
        <v>1005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1012</v>
      </c>
      <c r="B71" s="96"/>
      <c r="C71" s="96" t="s">
        <v>397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1013</v>
      </c>
      <c r="B72" s="96"/>
      <c r="C72" s="96" t="s">
        <v>397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1014</v>
      </c>
      <c r="B73" s="96"/>
      <c r="C73" s="96" t="s">
        <v>397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1036</v>
      </c>
      <c r="F75" s="111" t="n">
        <f aca="false">SUM(F2:F73)</f>
        <v>32483.9868079393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20"/>
  </cols>
  <sheetData>
    <row r="1" customFormat="false" ht="19.5" hidden="false" customHeight="true" outlineLevel="0" collapsed="false">
      <c r="A1" s="2" t="s">
        <v>1037</v>
      </c>
    </row>
    <row r="2" customFormat="false" ht="15" hidden="false" customHeight="true" outlineLevel="0" collapsed="false">
      <c r="A2" s="3" t="s">
        <v>1038</v>
      </c>
    </row>
    <row r="4" customFormat="false" ht="15" hidden="false" customHeight="true" outlineLevel="0" collapsed="false">
      <c r="A4" s="112" t="s">
        <v>897</v>
      </c>
      <c r="D4" s="113" t="s">
        <v>1039</v>
      </c>
    </row>
    <row r="5" customFormat="false" ht="15" hidden="false" customHeight="true" outlineLevel="0" collapsed="false">
      <c r="A5" s="114" t="s">
        <v>1040</v>
      </c>
      <c r="B5" s="114" t="s">
        <v>1041</v>
      </c>
      <c r="C5" s="114" t="s">
        <v>884</v>
      </c>
    </row>
    <row r="6" customFormat="false" ht="15" hidden="false" customHeight="true" outlineLevel="0" collapsed="false">
      <c r="A6" s="5" t="s">
        <v>1042</v>
      </c>
      <c r="B6" s="115" t="n">
        <v>1</v>
      </c>
      <c r="C6" s="116" t="s">
        <v>337</v>
      </c>
    </row>
    <row r="7" customFormat="false" ht="15" hidden="false" customHeight="true" outlineLevel="0" collapsed="false">
      <c r="A7" s="5" t="s">
        <v>1043</v>
      </c>
      <c r="B7" s="115" t="n">
        <v>0.01</v>
      </c>
      <c r="C7" s="116" t="s">
        <v>337</v>
      </c>
    </row>
    <row r="9" customFormat="false" ht="15" hidden="false" customHeight="true" outlineLevel="0" collapsed="false">
      <c r="A9" s="112" t="s">
        <v>900</v>
      </c>
      <c r="D9" s="113" t="s">
        <v>1039</v>
      </c>
    </row>
    <row r="10" customFormat="false" ht="15" hidden="false" customHeight="true" outlineLevel="0" collapsed="false">
      <c r="A10" s="114" t="s">
        <v>1040</v>
      </c>
      <c r="B10" s="114" t="s">
        <v>1041</v>
      </c>
      <c r="C10" s="114" t="s">
        <v>884</v>
      </c>
    </row>
    <row r="11" customFormat="false" ht="15" hidden="false" customHeight="true" outlineLevel="0" collapsed="false">
      <c r="A11" s="5" t="s">
        <v>1042</v>
      </c>
      <c r="B11" s="115" t="n">
        <v>1</v>
      </c>
      <c r="C11" s="116" t="s">
        <v>337</v>
      </c>
    </row>
    <row r="12" customFormat="false" ht="15" hidden="false" customHeight="true" outlineLevel="0" collapsed="false">
      <c r="A12" s="5" t="s">
        <v>1043</v>
      </c>
      <c r="B12" s="115" t="n">
        <v>0.0025</v>
      </c>
      <c r="C12" s="116" t="s">
        <v>337</v>
      </c>
    </row>
    <row r="14" customFormat="false" ht="15" hidden="false" customHeight="true" outlineLevel="0" collapsed="false">
      <c r="A14" s="112" t="s">
        <v>916</v>
      </c>
      <c r="D14" s="113" t="s">
        <v>1039</v>
      </c>
    </row>
    <row r="15" customFormat="false" ht="15" hidden="false" customHeight="true" outlineLevel="0" collapsed="false">
      <c r="A15" s="114" t="s">
        <v>1040</v>
      </c>
      <c r="B15" s="114" t="s">
        <v>1041</v>
      </c>
      <c r="C15" s="114" t="s">
        <v>884</v>
      </c>
    </row>
    <row r="16" customFormat="false" ht="15" hidden="false" customHeight="true" outlineLevel="0" collapsed="false">
      <c r="A16" s="5" t="s">
        <v>468</v>
      </c>
      <c r="B16" s="115" t="n">
        <v>0.02</v>
      </c>
      <c r="C16" s="116" t="s">
        <v>404</v>
      </c>
    </row>
    <row r="17" customFormat="false" ht="15" hidden="false" customHeight="true" outlineLevel="0" collapsed="false">
      <c r="A17" s="5" t="s">
        <v>922</v>
      </c>
      <c r="B17" s="115" t="n">
        <v>1</v>
      </c>
      <c r="C17" s="116" t="s">
        <v>337</v>
      </c>
    </row>
    <row r="19" customFormat="false" ht="15" hidden="false" customHeight="true" outlineLevel="0" collapsed="false">
      <c r="A19" s="112" t="s">
        <v>939</v>
      </c>
      <c r="D19" s="113" t="s">
        <v>1039</v>
      </c>
    </row>
    <row r="20" customFormat="false" ht="15" hidden="false" customHeight="true" outlineLevel="0" collapsed="false">
      <c r="A20" s="114" t="s">
        <v>1040</v>
      </c>
      <c r="B20" s="114" t="s">
        <v>1041</v>
      </c>
      <c r="C20" s="114" t="s">
        <v>884</v>
      </c>
    </row>
    <row r="21" customFormat="false" ht="15" hidden="false" customHeight="true" outlineLevel="0" collapsed="false">
      <c r="A21" s="5" t="s">
        <v>502</v>
      </c>
      <c r="B21" s="115" t="n">
        <v>0.5</v>
      </c>
      <c r="C21" s="116" t="s">
        <v>337</v>
      </c>
    </row>
    <row r="22" customFormat="false" ht="15" hidden="false" customHeight="true" outlineLevel="0" collapsed="false">
      <c r="A22" s="5" t="s">
        <v>922</v>
      </c>
      <c r="B22" s="115" t="n">
        <v>0.5</v>
      </c>
      <c r="C22" s="116" t="s">
        <v>337</v>
      </c>
    </row>
    <row r="24" customFormat="false" ht="15" hidden="false" customHeight="true" outlineLevel="0" collapsed="false">
      <c r="A24" s="112" t="s">
        <v>926</v>
      </c>
      <c r="D24" s="113" t="s">
        <v>1044</v>
      </c>
    </row>
    <row r="25" customFormat="false" ht="15" hidden="false" customHeight="true" outlineLevel="0" collapsed="false">
      <c r="A25" s="114" t="s">
        <v>1040</v>
      </c>
      <c r="B25" s="114" t="s">
        <v>1045</v>
      </c>
      <c r="C25" s="114" t="s">
        <v>884</v>
      </c>
    </row>
    <row r="26" customFormat="false" ht="15" hidden="false" customHeight="true" outlineLevel="0" collapsed="false">
      <c r="A26" s="5" t="s">
        <v>439</v>
      </c>
      <c r="B26" s="115" t="n">
        <v>0.01</v>
      </c>
      <c r="C26" s="116" t="s">
        <v>397</v>
      </c>
    </row>
    <row r="27" customFormat="false" ht="15" hidden="false" customHeight="true" outlineLevel="0" collapsed="false">
      <c r="A27" s="5" t="s">
        <v>445</v>
      </c>
      <c r="B27" s="115" t="n">
        <v>0.002</v>
      </c>
      <c r="C27" s="116" t="s">
        <v>397</v>
      </c>
    </row>
    <row r="28" customFormat="false" ht="15" hidden="false" customHeight="true" outlineLevel="0" collapsed="false">
      <c r="A28" s="5" t="s">
        <v>451</v>
      </c>
      <c r="B28" s="115" t="n">
        <v>0.003</v>
      </c>
      <c r="C28" s="116" t="s">
        <v>397</v>
      </c>
    </row>
    <row r="29" customFormat="false" ht="15" hidden="false" customHeight="true" outlineLevel="0" collapsed="false">
      <c r="A29" s="5" t="s">
        <v>1046</v>
      </c>
      <c r="B29" s="115" t="n">
        <v>0.01</v>
      </c>
      <c r="C29" s="116" t="s">
        <v>397</v>
      </c>
    </row>
    <row r="30" customFormat="false" ht="15" hidden="false" customHeight="true" outlineLevel="0" collapsed="false">
      <c r="A30" s="5" t="s">
        <v>461</v>
      </c>
      <c r="B30" s="115" t="n">
        <v>0.002</v>
      </c>
      <c r="C30" s="116" t="s">
        <v>397</v>
      </c>
    </row>
    <row r="31" customFormat="false" ht="15" hidden="false" customHeight="true" outlineLevel="0" collapsed="false">
      <c r="A31" s="5" t="s">
        <v>1047</v>
      </c>
      <c r="B31" s="115" t="n">
        <v>0.01</v>
      </c>
      <c r="C31" s="116" t="s">
        <v>397</v>
      </c>
    </row>
    <row r="32" customFormat="false" ht="15" hidden="false" customHeight="true" outlineLevel="0" collapsed="false">
      <c r="A32" s="5" t="s">
        <v>1048</v>
      </c>
      <c r="B32" s="115" t="n">
        <v>0.1</v>
      </c>
      <c r="C32" s="116" t="s">
        <v>397</v>
      </c>
    </row>
    <row r="33" customFormat="false" ht="15" hidden="false" customHeight="true" outlineLevel="0" collapsed="false">
      <c r="A33" s="5" t="s">
        <v>1049</v>
      </c>
      <c r="B33" s="115" t="n">
        <v>0.863</v>
      </c>
      <c r="C33" s="116" t="s">
        <v>397</v>
      </c>
    </row>
    <row r="35" customFormat="false" ht="15" hidden="false" customHeight="true" outlineLevel="0" collapsed="false">
      <c r="A35" s="112" t="s">
        <v>927</v>
      </c>
      <c r="D35" s="113" t="s">
        <v>1044</v>
      </c>
    </row>
    <row r="36" customFormat="false" ht="15" hidden="false" customHeight="true" outlineLevel="0" collapsed="false">
      <c r="A36" s="114" t="s">
        <v>1040</v>
      </c>
      <c r="B36" s="114" t="s">
        <v>1045</v>
      </c>
      <c r="C36" s="114" t="s">
        <v>884</v>
      </c>
    </row>
    <row r="37" customFormat="false" ht="15" hidden="false" customHeight="true" outlineLevel="0" collapsed="false">
      <c r="A37" s="5" t="s">
        <v>439</v>
      </c>
      <c r="B37" s="115" t="n">
        <v>0.01</v>
      </c>
      <c r="C37" s="116" t="s">
        <v>397</v>
      </c>
    </row>
    <row r="38" customFormat="false" ht="15" hidden="false" customHeight="true" outlineLevel="0" collapsed="false">
      <c r="A38" s="5" t="s">
        <v>445</v>
      </c>
      <c r="B38" s="115" t="n">
        <v>0.002</v>
      </c>
      <c r="C38" s="116" t="s">
        <v>397</v>
      </c>
    </row>
    <row r="39" customFormat="false" ht="15" hidden="false" customHeight="true" outlineLevel="0" collapsed="false">
      <c r="A39" s="5" t="s">
        <v>451</v>
      </c>
      <c r="B39" s="115" t="n">
        <v>0.003</v>
      </c>
      <c r="C39" s="116" t="s">
        <v>397</v>
      </c>
    </row>
    <row r="40" customFormat="false" ht="15" hidden="false" customHeight="true" outlineLevel="0" collapsed="false">
      <c r="A40" s="5" t="s">
        <v>1048</v>
      </c>
      <c r="B40" s="115" t="n">
        <v>0.1</v>
      </c>
      <c r="C40" s="116" t="s">
        <v>397</v>
      </c>
    </row>
    <row r="41" customFormat="false" ht="15" hidden="false" customHeight="true" outlineLevel="0" collapsed="false">
      <c r="A41" s="5" t="s">
        <v>1049</v>
      </c>
      <c r="B41" s="115" t="n">
        <v>0.885</v>
      </c>
      <c r="C41" s="116" t="s">
        <v>397</v>
      </c>
    </row>
    <row r="43" customFormat="false" ht="15" hidden="false" customHeight="true" outlineLevel="0" collapsed="false">
      <c r="A43" s="112" t="s">
        <v>928</v>
      </c>
      <c r="D43" s="113" t="s">
        <v>1044</v>
      </c>
    </row>
    <row r="44" customFormat="false" ht="15" hidden="false" customHeight="true" outlineLevel="0" collapsed="false">
      <c r="A44" s="114" t="s">
        <v>1040</v>
      </c>
      <c r="B44" s="114" t="s">
        <v>1045</v>
      </c>
      <c r="C44" s="114" t="s">
        <v>884</v>
      </c>
    </row>
    <row r="45" customFormat="false" ht="15" hidden="false" customHeight="true" outlineLevel="0" collapsed="false">
      <c r="A45" s="5" t="s">
        <v>1050</v>
      </c>
      <c r="B45" s="115" t="n">
        <v>0.05</v>
      </c>
      <c r="C45" s="116" t="s">
        <v>397</v>
      </c>
    </row>
    <row r="46" customFormat="false" ht="15" hidden="false" customHeight="true" outlineLevel="0" collapsed="false">
      <c r="A46" s="5" t="s">
        <v>1049</v>
      </c>
      <c r="B46" s="115" t="n">
        <v>0.95</v>
      </c>
      <c r="C46" s="116" t="s">
        <v>397</v>
      </c>
    </row>
    <row r="48" customFormat="false" ht="15" hidden="false" customHeight="true" outlineLevel="0" collapsed="false">
      <c r="A48" s="112" t="s">
        <v>940</v>
      </c>
      <c r="D48" s="113" t="s">
        <v>1039</v>
      </c>
    </row>
    <row r="49" customFormat="false" ht="15" hidden="false" customHeight="true" outlineLevel="0" collapsed="false">
      <c r="A49" s="114" t="s">
        <v>1040</v>
      </c>
      <c r="B49" s="114" t="s">
        <v>1041</v>
      </c>
      <c r="C49" s="114" t="s">
        <v>884</v>
      </c>
    </row>
    <row r="50" customFormat="false" ht="15" hidden="false" customHeight="true" outlineLevel="0" collapsed="false">
      <c r="A50" s="5" t="s">
        <v>945</v>
      </c>
      <c r="B50" s="115" t="n">
        <v>1</v>
      </c>
      <c r="C50" s="116" t="s">
        <v>397</v>
      </c>
    </row>
    <row r="51" customFormat="false" ht="15" hidden="false" customHeight="true" outlineLevel="0" collapsed="false">
      <c r="A51" s="5" t="s">
        <v>922</v>
      </c>
      <c r="B51" s="115" t="n">
        <v>0.999</v>
      </c>
      <c r="C51" s="116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8.75" hidden="false" customHeight="true" outlineLevel="0" collapsed="false">
      <c r="A1" s="16" t="s">
        <v>1051</v>
      </c>
    </row>
    <row r="2" customFormat="false" ht="42.75" hidden="false" customHeight="true" outlineLevel="0" collapsed="false">
      <c r="A2" s="117" t="s">
        <v>1052</v>
      </c>
      <c r="B2" s="117"/>
      <c r="C2" s="117"/>
      <c r="D2" s="117"/>
    </row>
    <row r="4" customFormat="false" ht="14.25" hidden="false" customHeight="true" outlineLevel="0" collapsed="false">
      <c r="A4" s="4" t="s">
        <v>884</v>
      </c>
      <c r="B4" s="4" t="s">
        <v>1053</v>
      </c>
      <c r="C4" s="4" t="s">
        <v>1054</v>
      </c>
    </row>
    <row r="5" customFormat="false" ht="14.25" hidden="false" customHeight="true" outlineLevel="0" collapsed="false">
      <c r="A5" s="5" t="s">
        <v>397</v>
      </c>
      <c r="B5" s="5" t="n">
        <v>1</v>
      </c>
      <c r="C5" s="5" t="s">
        <v>1055</v>
      </c>
    </row>
    <row r="6" customFormat="false" ht="14.25" hidden="false" customHeight="true" outlineLevel="0" collapsed="false">
      <c r="A6" s="5" t="s">
        <v>337</v>
      </c>
      <c r="B6" s="5" t="n">
        <v>1000</v>
      </c>
      <c r="C6" s="5" t="s">
        <v>1055</v>
      </c>
    </row>
    <row r="7" customFormat="false" ht="14.25" hidden="false" customHeight="true" outlineLevel="0" collapsed="false">
      <c r="A7" s="5" t="s">
        <v>1056</v>
      </c>
      <c r="B7" s="5" t="n">
        <v>1000000</v>
      </c>
      <c r="C7" s="5" t="s">
        <v>1055</v>
      </c>
    </row>
    <row r="8" customFormat="false" ht="14.25" hidden="false" customHeight="true" outlineLevel="0" collapsed="false">
      <c r="A8" s="5" t="s">
        <v>488</v>
      </c>
      <c r="B8" s="5" t="n">
        <v>1</v>
      </c>
      <c r="C8" s="5" t="s">
        <v>1057</v>
      </c>
    </row>
    <row r="9" customFormat="false" ht="14.25" hidden="false" customHeight="true" outlineLevel="0" collapsed="false">
      <c r="A9" s="5" t="s">
        <v>404</v>
      </c>
      <c r="B9" s="5" t="n">
        <v>1000</v>
      </c>
      <c r="C9" s="5" t="s">
        <v>1057</v>
      </c>
    </row>
    <row r="10" customFormat="false" ht="14.25" hidden="false" customHeight="true" outlineLevel="0" collapsed="false">
      <c r="A10" s="5" t="s">
        <v>1058</v>
      </c>
      <c r="B10" s="5" t="n">
        <v>0.001</v>
      </c>
      <c r="C10" s="5" t="s">
        <v>1057</v>
      </c>
    </row>
    <row r="11" customFormat="false" ht="14.25" hidden="false" customHeight="true" outlineLevel="0" collapsed="false">
      <c r="A11" s="5" t="s">
        <v>571</v>
      </c>
      <c r="B11" s="5" t="n">
        <v>1</v>
      </c>
      <c r="C11" s="5" t="s">
        <v>1059</v>
      </c>
    </row>
    <row r="12" customFormat="false" ht="14.25" hidden="false" customHeight="true" outlineLevel="0" collapsed="false">
      <c r="A12" s="5" t="s">
        <v>548</v>
      </c>
      <c r="B12" s="5" t="n">
        <v>1</v>
      </c>
      <c r="C12" s="5" t="s">
        <v>1059</v>
      </c>
    </row>
    <row r="13" customFormat="false" ht="14.25" hidden="false" customHeight="true" outlineLevel="0" collapsed="false">
      <c r="A13" s="5" t="s">
        <v>534</v>
      </c>
      <c r="B13" s="5" t="n">
        <v>1</v>
      </c>
      <c r="C13" s="5" t="s">
        <v>1059</v>
      </c>
    </row>
    <row r="14" customFormat="false" ht="14.25" hidden="false" customHeight="true" outlineLevel="0" collapsed="false">
      <c r="A14" s="5" t="s">
        <v>562</v>
      </c>
      <c r="B14" s="5" t="n">
        <v>1</v>
      </c>
      <c r="C14" s="5" t="s">
        <v>1059</v>
      </c>
    </row>
    <row r="15" customFormat="false" ht="14.25" hidden="false" customHeight="true" outlineLevel="0" collapsed="false">
      <c r="A15" s="5" t="s">
        <v>418</v>
      </c>
      <c r="B15" s="5" t="n">
        <v>1</v>
      </c>
      <c r="C15" s="5" t="s">
        <v>1059</v>
      </c>
    </row>
    <row r="16" customFormat="false" ht="14.25" hidden="false" customHeight="true" outlineLevel="0" collapsed="false">
      <c r="A16" s="5" t="s">
        <v>373</v>
      </c>
      <c r="B16" s="5" t="n">
        <v>1</v>
      </c>
      <c r="C16" s="5" t="s">
        <v>1059</v>
      </c>
    </row>
    <row r="17" customFormat="false" ht="14.25" hidden="false" customHeight="true" outlineLevel="0" collapsed="false">
      <c r="A17" s="5" t="s">
        <v>905</v>
      </c>
      <c r="B17" s="5" t="n">
        <v>1</v>
      </c>
      <c r="C17" s="5" t="s">
        <v>1059</v>
      </c>
    </row>
    <row r="18" customFormat="false" ht="14.25" hidden="false" customHeight="true" outlineLevel="0" collapsed="false">
      <c r="A18" s="5" t="s">
        <v>1060</v>
      </c>
      <c r="B18" s="5" t="n">
        <v>1</v>
      </c>
      <c r="C18" s="5" t="s">
        <v>1059</v>
      </c>
    </row>
    <row r="19" customFormat="false" ht="14.25" hidden="false" customHeight="true" outlineLevel="0" collapsed="false">
      <c r="A19" s="5" t="s">
        <v>971</v>
      </c>
      <c r="B19" s="5" t="n">
        <v>1</v>
      </c>
      <c r="C19" s="5" t="s">
        <v>1059</v>
      </c>
    </row>
    <row r="20" customFormat="false" ht="14.25" hidden="false" customHeight="true" outlineLevel="0" collapsed="false">
      <c r="A20" s="5" t="s">
        <v>1005</v>
      </c>
      <c r="B20" s="5" t="n">
        <v>1</v>
      </c>
      <c r="C20" s="5" t="s">
        <v>1059</v>
      </c>
    </row>
    <row r="21" customFormat="false" ht="14.25" hidden="false" customHeight="true" outlineLevel="0" collapsed="false">
      <c r="A21" s="5" t="s">
        <v>627</v>
      </c>
      <c r="B21" s="5" t="n">
        <v>1</v>
      </c>
      <c r="C21" s="5" t="s">
        <v>1059</v>
      </c>
    </row>
    <row r="22" customFormat="false" ht="14.25" hidden="false" customHeight="true" outlineLevel="0" collapsed="false">
      <c r="A22" s="5" t="s">
        <v>913</v>
      </c>
      <c r="B22" s="5" t="n">
        <v>1</v>
      </c>
      <c r="C22" s="5" t="s">
        <v>1059</v>
      </c>
    </row>
    <row r="23" customFormat="false" ht="14.25" hidden="false" customHeight="true" outlineLevel="0" collapsed="false">
      <c r="A23" s="5" t="s">
        <v>566</v>
      </c>
      <c r="B23" s="5" t="n">
        <v>1</v>
      </c>
      <c r="C23" s="5" t="s">
        <v>1059</v>
      </c>
    </row>
    <row r="24" customFormat="false" ht="14.25" hidden="false" customHeight="true" outlineLevel="0" collapsed="false">
      <c r="A24" s="5" t="s">
        <v>1061</v>
      </c>
      <c r="B24" s="5" t="n">
        <v>1</v>
      </c>
      <c r="C24" s="5" t="s">
        <v>1059</v>
      </c>
    </row>
    <row r="25" customFormat="false" ht="14.25" hidden="false" customHeight="true" outlineLevel="0" collapsed="false">
      <c r="A25" s="5" t="s">
        <v>1062</v>
      </c>
      <c r="B25" s="5" t="n">
        <v>1</v>
      </c>
      <c r="C25" s="5" t="s">
        <v>1059</v>
      </c>
    </row>
    <row r="26" customFormat="false" ht="14.25" hidden="false" customHeight="true" outlineLevel="0" collapsed="false">
      <c r="A26" s="5" t="s">
        <v>1063</v>
      </c>
      <c r="B26" s="5" t="n">
        <v>1</v>
      </c>
      <c r="C26" s="5" t="s">
        <v>1059</v>
      </c>
    </row>
    <row r="27" customFormat="false" ht="14.25" hidden="false" customHeight="true" outlineLevel="0" collapsed="false">
      <c r="A27" s="5" t="s">
        <v>1064</v>
      </c>
      <c r="B27" s="5" t="n">
        <v>1</v>
      </c>
      <c r="C27" s="5" t="s">
        <v>1059</v>
      </c>
    </row>
    <row r="28" customFormat="false" ht="14.25" hidden="false" customHeight="true" outlineLevel="0" collapsed="false">
      <c r="A28" s="5" t="s">
        <v>379</v>
      </c>
      <c r="B28" s="5" t="n">
        <v>1</v>
      </c>
      <c r="C28" s="5" t="s">
        <v>379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1065</v>
      </c>
    </row>
    <row r="2" customFormat="false" ht="15" hidden="false" customHeight="true" outlineLevel="0" collapsed="false">
      <c r="A2" s="1" t="s">
        <v>1066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1067</v>
      </c>
    </row>
    <row r="6" customFormat="false" ht="15" hidden="false" customHeight="true" outlineLevel="0" collapsed="false">
      <c r="A6" s="1" t="s">
        <v>1068</v>
      </c>
    </row>
    <row r="7" customFormat="false" ht="15" hidden="false" customHeight="true" outlineLevel="0" collapsed="false">
      <c r="A7" s="1" t="s">
        <v>1069</v>
      </c>
    </row>
    <row r="8" customFormat="false" ht="15" hidden="false" customHeight="true" outlineLevel="0" collapsed="false">
      <c r="A8" s="1" t="s">
        <v>1070</v>
      </c>
    </row>
    <row r="9" customFormat="false" ht="15" hidden="false" customHeight="true" outlineLevel="0" collapsed="false">
      <c r="A9" s="1" t="s">
        <v>1071</v>
      </c>
    </row>
    <row r="10" customFormat="false" ht="15" hidden="false" customHeight="true" outlineLevel="0" collapsed="false">
      <c r="A10" s="1" t="s">
        <v>1072</v>
      </c>
    </row>
    <row r="11" customFormat="false" ht="15" hidden="false" customHeight="true" outlineLevel="0" collapsed="false">
      <c r="A11" s="1" t="s">
        <v>1073</v>
      </c>
    </row>
    <row r="12" customFormat="false" ht="15" hidden="false" customHeight="true" outlineLevel="0" collapsed="false">
      <c r="A12" s="1" t="s">
        <v>1074</v>
      </c>
    </row>
    <row r="13" customFormat="false" ht="15" hidden="false" customHeight="true" outlineLevel="0" collapsed="false">
      <c r="A13" s="1" t="s">
        <v>1075</v>
      </c>
    </row>
    <row r="14" customFormat="false" ht="15" hidden="false" customHeight="true" outlineLevel="0" collapsed="false">
      <c r="A14" s="1" t="s">
        <v>1076</v>
      </c>
    </row>
    <row r="15" customFormat="false" ht="15" hidden="false" customHeight="true" outlineLevel="0" collapsed="false">
      <c r="A15" s="1" t="s">
        <v>1077</v>
      </c>
    </row>
    <row r="16" customFormat="false" ht="15" hidden="false" customHeight="true" outlineLevel="0" collapsed="false">
      <c r="A16" s="1" t="s">
        <v>1078</v>
      </c>
    </row>
    <row r="17" customFormat="false" ht="15" hidden="false" customHeight="true" outlineLevel="0" collapsed="false">
      <c r="A17" s="1" t="s">
        <v>1079</v>
      </c>
    </row>
    <row r="18" customFormat="false" ht="15" hidden="false" customHeight="true" outlineLevel="0" collapsed="false">
      <c r="A18" s="1" t="s">
        <v>1080</v>
      </c>
    </row>
    <row r="19" customFormat="false" ht="15" hidden="false" customHeight="true" outlineLevel="0" collapsed="false">
      <c r="A19" s="1" t="s">
        <v>1081</v>
      </c>
    </row>
    <row r="20" customFormat="false" ht="15" hidden="false" customHeight="true" outlineLevel="0" collapsed="false">
      <c r="A20" s="1" t="s">
        <v>1082</v>
      </c>
    </row>
    <row r="21" customFormat="false" ht="15" hidden="false" customHeight="true" outlineLevel="0" collapsed="false">
      <c r="A21" s="1" t="s">
        <v>1083</v>
      </c>
    </row>
    <row r="22" customFormat="false" ht="15" hidden="false" customHeight="true" outlineLevel="0" collapsed="false">
      <c r="A22" s="1" t="s">
        <v>1084</v>
      </c>
    </row>
    <row r="23" customFormat="false" ht="15" hidden="false" customHeight="true" outlineLevel="0" collapsed="false">
      <c r="A23" s="1" t="s">
        <v>1085</v>
      </c>
    </row>
    <row r="24" customFormat="false" ht="15" hidden="false" customHeight="true" outlineLevel="0" collapsed="false">
      <c r="A24" s="1" t="s">
        <v>1086</v>
      </c>
    </row>
    <row r="25" customFormat="false" ht="15" hidden="false" customHeight="true" outlineLevel="0" collapsed="false">
      <c r="A25" s="1" t="s">
        <v>1087</v>
      </c>
    </row>
    <row r="26" customFormat="false" ht="15" hidden="false" customHeight="true" outlineLevel="0" collapsed="false">
      <c r="A26" s="1" t="s">
        <v>1088</v>
      </c>
    </row>
    <row r="27" customFormat="false" ht="15" hidden="false" customHeight="true" outlineLevel="0" collapsed="false">
      <c r="A27" s="1" t="s">
        <v>1089</v>
      </c>
    </row>
    <row r="28" customFormat="false" ht="15" hidden="false" customHeight="true" outlineLevel="0" collapsed="false">
      <c r="A28" s="1" t="s">
        <v>1090</v>
      </c>
    </row>
    <row r="29" customFormat="false" ht="15" hidden="false" customHeight="true" outlineLevel="0" collapsed="false">
      <c r="A29" s="1" t="s">
        <v>1091</v>
      </c>
    </row>
    <row r="30" customFormat="false" ht="15" hidden="false" customHeight="true" outlineLevel="0" collapsed="false">
      <c r="A30" s="1" t="s">
        <v>1092</v>
      </c>
    </row>
    <row r="31" customFormat="false" ht="15" hidden="false" customHeight="true" outlineLevel="0" collapsed="false">
      <c r="A31" s="1" t="s">
        <v>1093</v>
      </c>
    </row>
    <row r="32" customFormat="false" ht="15" hidden="false" customHeight="true" outlineLevel="0" collapsed="false">
      <c r="A32" s="1" t="s">
        <v>1094</v>
      </c>
    </row>
    <row r="33" customFormat="false" ht="15" hidden="false" customHeight="true" outlineLevel="0" collapsed="false">
      <c r="A33" s="1" t="s">
        <v>1095</v>
      </c>
    </row>
    <row r="34" customFormat="false" ht="15" hidden="false" customHeight="true" outlineLevel="0" collapsed="false">
      <c r="A34" s="1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1097</v>
      </c>
    </row>
    <row r="2" customFormat="false" ht="15" hidden="false" customHeight="true" outlineLevel="0" collapsed="false">
      <c r="A2" s="1" t="s">
        <v>1098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1099</v>
      </c>
    </row>
    <row r="6" customFormat="false" ht="15" hidden="false" customHeight="true" outlineLevel="0" collapsed="false">
      <c r="A6" s="1" t="s">
        <v>1100</v>
      </c>
    </row>
    <row r="7" customFormat="false" ht="15" hidden="false" customHeight="true" outlineLevel="0" collapsed="false">
      <c r="A7" s="1" t="s">
        <v>1101</v>
      </c>
    </row>
    <row r="8" customFormat="false" ht="15" hidden="false" customHeight="true" outlineLevel="0" collapsed="false">
      <c r="A8" s="1" t="s">
        <v>1102</v>
      </c>
    </row>
    <row r="9" customFormat="false" ht="15" hidden="false" customHeight="true" outlineLevel="0" collapsed="false">
      <c r="A9" s="1" t="s">
        <v>1103</v>
      </c>
    </row>
    <row r="10" customFormat="false" ht="15" hidden="false" customHeight="true" outlineLevel="0" collapsed="false">
      <c r="A10" s="1" t="s">
        <v>1104</v>
      </c>
    </row>
    <row r="11" customFormat="false" ht="15" hidden="false" customHeight="true" outlineLevel="0" collapsed="false">
      <c r="A11" s="1" t="s">
        <v>1105</v>
      </c>
    </row>
    <row r="12" customFormat="false" ht="15" hidden="false" customHeight="true" outlineLevel="0" collapsed="false">
      <c r="A12" s="1" t="s">
        <v>1106</v>
      </c>
    </row>
    <row r="13" customFormat="false" ht="15" hidden="false" customHeight="true" outlineLevel="0" collapsed="false">
      <c r="A13" s="1" t="s">
        <v>1107</v>
      </c>
    </row>
    <row r="14" customFormat="false" ht="15" hidden="false" customHeight="true" outlineLevel="0" collapsed="false">
      <c r="A14" s="1" t="s">
        <v>1108</v>
      </c>
    </row>
    <row r="15" customFormat="false" ht="15" hidden="false" customHeight="true" outlineLevel="0" collapsed="false">
      <c r="A15" s="1" t="s">
        <v>1109</v>
      </c>
    </row>
    <row r="16" customFormat="false" ht="15" hidden="false" customHeight="true" outlineLevel="0" collapsed="false">
      <c r="A16" s="1" t="s">
        <v>1110</v>
      </c>
    </row>
    <row r="17" customFormat="false" ht="15" hidden="false" customHeight="true" outlineLevel="0" collapsed="false">
      <c r="A17" s="1" t="s">
        <v>1111</v>
      </c>
    </row>
    <row r="18" customFormat="false" ht="15" hidden="false" customHeight="true" outlineLevel="0" collapsed="false">
      <c r="A18" s="1" t="s">
        <v>1112</v>
      </c>
    </row>
    <row r="19" customFormat="false" ht="15" hidden="false" customHeight="true" outlineLevel="0" collapsed="false">
      <c r="A19" s="1" t="s">
        <v>1113</v>
      </c>
    </row>
    <row r="20" customFormat="false" ht="15" hidden="false" customHeight="true" outlineLevel="0" collapsed="false">
      <c r="A20" s="1" t="s">
        <v>1114</v>
      </c>
    </row>
    <row r="21" customFormat="false" ht="15" hidden="false" customHeight="true" outlineLevel="0" collapsed="false">
      <c r="A21" s="1" t="s">
        <v>1115</v>
      </c>
    </row>
    <row r="22" customFormat="false" ht="15" hidden="false" customHeight="true" outlineLevel="0" collapsed="false">
      <c r="A22" s="1" t="s">
        <v>1116</v>
      </c>
    </row>
    <row r="23" customFormat="false" ht="15" hidden="false" customHeight="true" outlineLevel="0" collapsed="false">
      <c r="A23" s="1" t="s">
        <v>1117</v>
      </c>
    </row>
    <row r="24" customFormat="false" ht="15" hidden="false" customHeight="true" outlineLevel="0" collapsed="false">
      <c r="A24" s="1" t="s">
        <v>1118</v>
      </c>
    </row>
    <row r="25" customFormat="false" ht="15" hidden="false" customHeight="true" outlineLevel="0" collapsed="false">
      <c r="A25" s="1" t="s">
        <v>1119</v>
      </c>
    </row>
    <row r="26" customFormat="false" ht="15" hidden="false" customHeight="true" outlineLevel="0" collapsed="false">
      <c r="A26" s="1" t="s">
        <v>1120</v>
      </c>
    </row>
    <row r="27" customFormat="false" ht="15" hidden="false" customHeight="true" outlineLevel="0" collapsed="false">
      <c r="A27" s="1" t="s">
        <v>1121</v>
      </c>
    </row>
    <row r="28" customFormat="false" ht="15" hidden="false" customHeight="true" outlineLevel="0" collapsed="false">
      <c r="A28" s="1" t="s">
        <v>1122</v>
      </c>
    </row>
    <row r="29" customFormat="false" ht="15" hidden="false" customHeight="true" outlineLevel="0" collapsed="false">
      <c r="A29" s="1" t="s">
        <v>1123</v>
      </c>
    </row>
    <row r="30" customFormat="false" ht="15" hidden="false" customHeight="true" outlineLevel="0" collapsed="false">
      <c r="A30" s="1" t="s">
        <v>1124</v>
      </c>
    </row>
    <row r="31" customFormat="false" ht="15" hidden="false" customHeight="true" outlineLevel="0" collapsed="false">
      <c r="A31" s="1" t="s">
        <v>1125</v>
      </c>
    </row>
    <row r="32" customFormat="false" ht="15" hidden="false" customHeight="true" outlineLevel="0" collapsed="false">
      <c r="A32" s="1" t="s">
        <v>1126</v>
      </c>
    </row>
    <row r="33" customFormat="false" ht="15" hidden="false" customHeight="true" outlineLevel="0" collapsed="false">
      <c r="A33" s="1" t="s">
        <v>1127</v>
      </c>
    </row>
    <row r="34" customFormat="false" ht="15" hidden="false" customHeight="true" outlineLevel="0" collapsed="false">
      <c r="A34" s="1" t="s">
        <v>1128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2026-08-05T02:40:27Z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