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puts" sheetId="1" state="visible" r:id="rId3"/>
    <sheet name="README" sheetId="2" state="visible" r:id="rId4"/>
    <sheet name="Kit_Catalog" sheetId="3" state="visible" r:id="rId5"/>
    <sheet name="Additional_Supply_Catalog" sheetId="4" state="visible" r:id="rId6"/>
    <sheet name="Cell Pooling Calculator" sheetId="5" state="visible" r:id="rId7"/>
    <sheet name="Modality_Definitions" sheetId="6" state="visible" r:id="rId8"/>
    <sheet name="Protocol_Stages" sheetId="7" state="visible" r:id="rId9"/>
    <sheet name="Sequencing_Pricing" sheetId="8" state="visible" r:id="rId10"/>
    <sheet name="Personnel_Roster" sheetId="9" state="visible" r:id="rId11"/>
    <sheet name="Cell_Flow_Assumptions" sheetId="10" state="visible" r:id="rId12"/>
    <sheet name="Pre_GEM_Consumables" sheetId="11" state="visible" r:id="rId13"/>
    <sheet name="Post_GEM_Consumables" sheetId="12" state="visible" r:id="rId14"/>
    <sheet name="Order_Totals" sheetId="13" state="visible" r:id="rId15"/>
    <sheet name="Buffer_Recipes" sheetId="14" state="visible" r:id="rId16"/>
    <sheet name="Unit_Conversions" sheetId="15" state="visible" r:id="rId17"/>
    <sheet name="Oligo_Catalog" sheetId="16" state="visible" r:id="rId18"/>
    <sheet name="Antibody_Catalog" sheetId="17" state="visible" r:id="rId19"/>
  </sheets>
  <definedNames>
    <definedName function="false" hidden="true" localSheetId="12" name="_xlnm._FilterDatabase" vbProcedure="false">Order_Totals!$A$1:$F$73</definedName>
    <definedName function="false" hidden="true" localSheetId="11" name="_xlnm._FilterDatabase" vbProcedure="false">Post_GEM_Consumables!$A$1:$O$84</definedName>
    <definedName function="false" hidden="true" localSheetId="10" name="_xlnm._FilterDatabase" vbProcedure="false">Pre_GEM_Consumables!$A$1:$O$74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<sst xmlns="http://schemas.openxmlformats.org/spreadsheetml/2006/main" count="2893" uniqueCount="1130">
  <si>
    <t xml:space="preserve">Experiment inputs</t>
  </si>
  <si>
    <t xml:space="preserve">Edit the blue cells. The consumables, order-totals and cost sheets all recalculate from these.</t>
  </si>
  <si>
    <t xml:space="preserve">Parameter</t>
  </si>
  <si>
    <t xml:space="preserve">Value</t>
  </si>
  <si>
    <t xml:space="preserve">Basis</t>
  </si>
  <si>
    <t xml:space="preserve">Count</t>
  </si>
  <si>
    <t xml:space="preserve">Cost by scaling level</t>
  </si>
  <si>
    <t xml:space="preserve">Total cost ($)</t>
  </si>
  <si>
    <t xml:space="preserve">Samples</t>
  </si>
  <si>
    <t xml:space="preserve">per sample</t>
  </si>
  <si>
    <t xml:space="preserve">Genetic pools</t>
  </si>
  <si>
    <t xml:space="preserve">per genetic pool</t>
  </si>
  <si>
    <t xml:space="preserve">Super-pools (combined stain/load units)</t>
  </si>
  <si>
    <t xml:space="preserve">per super-pool</t>
  </si>
  <si>
    <t xml:space="preserve">HTO batches (hashtag kits)</t>
  </si>
  <si>
    <t xml:space="preserve">per HTO batch</t>
  </si>
  <si>
    <t xml:space="preserve">per lane</t>
  </si>
  <si>
    <t xml:space="preserve">Workers</t>
  </si>
  <si>
    <t xml:space="preserve">per worker</t>
  </si>
  <si>
    <t xml:space="preserve">GEM lanes / channels (generic)</t>
  </si>
  <si>
    <t xml:space="preserve">per run</t>
  </si>
  <si>
    <t xml:space="preserve">5' GEM channels</t>
  </si>
  <si>
    <t xml:space="preserve">per 5' GEM channel</t>
  </si>
  <si>
    <t xml:space="preserve">ATAC GEM channels</t>
  </si>
  <si>
    <t xml:space="preserve">per ATAC GEM channel</t>
  </si>
  <si>
    <t xml:space="preserve">per 5'-GEX library</t>
  </si>
  <si>
    <t xml:space="preserve">5'-GEX libraries</t>
  </si>
  <si>
    <t xml:space="preserve">per 5'-VDJ library</t>
  </si>
  <si>
    <t xml:space="preserve">5'-VDJ libraries</t>
  </si>
  <si>
    <t xml:space="preserve">per 5'-ADT library</t>
  </si>
  <si>
    <t xml:space="preserve">5'-ADT libraries</t>
  </si>
  <si>
    <t xml:space="preserve">per ATAC library</t>
  </si>
  <si>
    <t xml:space="preserve">ATAC-ADT libraries</t>
  </si>
  <si>
    <t xml:space="preserve">per ATAC-ADT library</t>
  </si>
  <si>
    <t xml:space="preserve">ATAC libraries</t>
  </si>
  <si>
    <t xml:space="preserve">(fixed)</t>
  </si>
  <si>
    <t xml:space="preserve">per Flex sample</t>
  </si>
  <si>
    <t xml:space="preserve">per Flex pool</t>
  </si>
  <si>
    <t xml:space="preserve">Default overage (extra to prepare)</t>
  </si>
  <si>
    <t xml:space="preserve">per Flex library</t>
  </si>
  <si>
    <t xml:space="preserve">Flex v2 samples (fixation + hyb rxns)</t>
  </si>
  <si>
    <t xml:space="preserve">Flex v2 pools (GEM reactions)</t>
  </si>
  <si>
    <t xml:space="preserve">Flex v2 libraries</t>
  </si>
  <si>
    <t xml:space="preserve">Flex v2 is an opt-in track: set the three counts above &gt; 0 to include Flex reagents in totals (leave 0 for a 5'/ASAP/sort-only plan).</t>
  </si>
  <si>
    <t xml:space="preserve">Single-Cell Pipeline — Master Data Schema</t>
  </si>
  <si>
    <t xml:space="preserve">Tsang Lab | Draft schema for the experiment planning tool | Built from existing lab spreadsheets &amp; protocols</t>
  </si>
  <si>
    <t xml:space="preserve">Tab color</t>
  </si>
  <si>
    <t xml:space="preserve">Meaning</t>
  </si>
  <si>
    <t xml:space="preserve">Who edits it</t>
  </si>
  <si>
    <t xml:space="preserve">How</t>
  </si>
  <si>
    <t xml:space="preserve">Red</t>
  </si>
  <si>
    <t xml:space="preserve">Admin-only — reference/pricing data</t>
  </si>
  <si>
    <t xml:space="preserve">PI, lab manager, or tool admin</t>
  </si>
  <si>
    <t xml:space="preserve">Lock the tab (Protect sheet / Protected ranges) in Google Sheets so only admins can edit</t>
  </si>
  <si>
    <t xml:space="preserve">Green</t>
  </si>
  <si>
    <t xml:space="preserve">Lab-editable — day-to-day updates</t>
  </si>
  <si>
    <t xml:space="preserve">Anyone in the lab</t>
  </si>
  <si>
    <t xml:space="preserve">Open editing, but structured as an append-only log where possible (see Inventory_Transactions)</t>
  </si>
  <si>
    <t xml:space="preserve">Purple</t>
  </si>
  <si>
    <t xml:space="preserve">Auto-computed / rarely touched</t>
  </si>
  <si>
    <t xml:space="preserve">No one manually — formulas or the tool write here</t>
  </si>
  <si>
    <t xml:space="preserve">Protect from manual edits; values come from formulas or the web app</t>
  </si>
  <si>
    <t xml:space="preserve">Sheet map</t>
  </si>
  <si>
    <t xml:space="preserve">Sheet</t>
  </si>
  <si>
    <t xml:space="preserve">Purpose</t>
  </si>
  <si>
    <t xml:space="preserve">Key column(s)</t>
  </si>
  <si>
    <t xml:space="preserve">Tier</t>
  </si>
  <si>
    <t xml:space="preserve">Kit_Catalog</t>
  </si>
  <si>
    <t xml:space="preserve">Every 10x kit/reagent: part numbers, kit size, price, reactions per kit</t>
  </si>
  <si>
    <t xml:space="preserve">kit_id (PK)</t>
  </si>
  <si>
    <t xml:space="preserve">Admin</t>
  </si>
  <si>
    <t xml:space="preserve">Antibody_HTO_Catalog</t>
  </si>
  <si>
    <t xml:space="preserve">TotalSeq HTO/ADT cocktails and hashtag antibodies</t>
  </si>
  <si>
    <t xml:space="preserve">item_id (PK)</t>
  </si>
  <si>
    <t xml:space="preserve">Additional_Reagents_Catalog</t>
  </si>
  <si>
    <t xml:space="preserve">Third-party consumables (SPRI, ethanol, tips, QC kits, etc.)</t>
  </si>
  <si>
    <t xml:space="preserve">Per_Channel_Consumables</t>
  </si>
  <si>
    <t xml:space="preserve">How much SPRI/ethanol/EB each protocol needs per channel</t>
  </si>
  <si>
    <t xml:space="preserve">protocol (FK)</t>
  </si>
  <si>
    <t xml:space="preserve">Sequencing_Pricing</t>
  </si>
  <si>
    <t xml:space="preserve">YCGA / external sequencing platform pricing</t>
  </si>
  <si>
    <t xml:space="preserve">platform_id (PK)</t>
  </si>
  <si>
    <t xml:space="preserve">Modality_Definitions</t>
  </si>
  <si>
    <t xml:space="preserve">scRNAseq/CITEseq/ASAPseq/Flex definitions, required stages, default cell targets</t>
  </si>
  <si>
    <t xml:space="preserve">modality_id (PK)</t>
  </si>
  <si>
    <t xml:space="preserve">Protocol_Stages</t>
  </si>
  <si>
    <t xml:space="preserve">Modular workflow building blocks (thaw, pool, stain, sort, stim, library prep...)</t>
  </si>
  <si>
    <t xml:space="preserve">stage_id (PK)</t>
  </si>
  <si>
    <t xml:space="preserve">Stage_Reagent_Requirements</t>
  </si>
  <si>
    <t xml:space="preserve">Links each protocol stage to catalog items + amount per sample/channel/pool</t>
  </si>
  <si>
    <t xml:space="preserve">stage_id, item_id (FK)</t>
  </si>
  <si>
    <t xml:space="preserve">Personnel_Roster</t>
  </si>
  <si>
    <t xml:space="preserve">Who can run which stage, current availability</t>
  </si>
  <si>
    <t xml:space="preserve">person_id (PK)</t>
  </si>
  <si>
    <t xml:space="preserve">Lab-editable</t>
  </si>
  <si>
    <t xml:space="preserve">Live_Inventory</t>
  </si>
  <si>
    <t xml:space="preserve">Current on-hand quantity per catalog item (computed from transactions)</t>
  </si>
  <si>
    <t xml:space="preserve">item_id (FK)</t>
  </si>
  <si>
    <t xml:space="preserve">Purple = auto-computed</t>
  </si>
  <si>
    <t xml:space="preserve">Inventory_Transactions</t>
  </si>
  <si>
    <t xml:space="preserve">Append-only log: every receipt or use of a reagent</t>
  </si>
  <si>
    <t xml:space="preserve">txn_id (PK)</t>
  </si>
  <si>
    <t xml:space="preserve">Experiment_Log</t>
  </si>
  <si>
    <t xml:space="preserve">Historical record of past experiments — plans, actuals, costs</t>
  </si>
  <si>
    <t xml:space="preserve">experiment_id (PK)</t>
  </si>
  <si>
    <t xml:space="preserve">Design principles</t>
  </si>
  <si>
    <t xml:space="preserve">1. Catalog data (kits, pricing, protocols) is admin-locked — it changes rarely and errors here break every calculation downstream.</t>
  </si>
  <si>
    <t xml:space="preserve">2. Inventory is NEVER edited by typing a new stock number directly. Everyone logs a transaction (+received / -used); Live_Inventory's stock column is a SUMIFS formula over the log. This avoids two people overwriting each other's edits and gives you a use history for free.</t>
  </si>
  <si>
    <t xml:space="preserve">3. Every table has a stable *_id primary key so the future web app (and other sheets) can reference rows reliably even if names or prices change.</t>
  </si>
  <si>
    <t xml:space="preserve">4. Protocol_Stages + Stage_Reagent_Requirements are the bridge between 'what modalities did you pick' and 'what do you need to order' — this is what replaces the fragmented one-off protocols.</t>
  </si>
  <si>
    <t xml:space="preserve">5. This workbook is the template to recreate as a Google Sheets file (one tab = one sheet). Once migrated, use Data &gt; Protected sheets and ranges to enforce the admin/lab-editable split.</t>
  </si>
  <si>
    <t xml:space="preserve">ARCHITECTURE NOTE (updated):</t>
  </si>
  <si>
    <t xml:space="preserve">Live inventory, inventory transactions, and the experiment log now live in the separate</t>
  </si>
  <si>
    <t xml:space="preserve">Live_Inventory workbook on Google Drive (single source of truth). This schema holds only</t>
  </si>
  <si>
    <t xml:space="preserve">reference data: catalogs, consumables recipes, pricing, modality/protocol definitions, and calculators.</t>
  </si>
  <si>
    <t xml:space="preserve">Admin-only. Source: 10X_Reagent_Ordering_Tracker.xlsx (June 2026) + 10x Genomics official price list PDFs (verified 2026-07-01).</t>
  </si>
  <si>
    <t xml:space="preserve">kit_id</t>
  </si>
  <si>
    <t xml:space="preserve">chemistry</t>
  </si>
  <si>
    <t xml:space="preserve">category</t>
  </si>
  <si>
    <t xml:space="preserve">kit_name</t>
  </si>
  <si>
    <t xml:space="preserve">part_number</t>
  </si>
  <si>
    <t xml:space="preserve">kit_size</t>
  </si>
  <si>
    <t xml:space="preserve">reactions_per_kit</t>
  </si>
  <si>
    <t xml:space="preserve">price_usd</t>
  </si>
  <si>
    <t xml:space="preserve">price_verified_date</t>
  </si>
  <si>
    <t xml:space="preserve">price_source</t>
  </si>
  <si>
    <t xml:space="preserve">notes</t>
  </si>
  <si>
    <t xml:space="preserve">K001</t>
  </si>
  <si>
    <t xml:space="preserve">3' v4</t>
  </si>
  <si>
    <t xml:space="preserve">GEX</t>
  </si>
  <si>
    <t xml:space="preserve">Chromium GEM-X Single Cell 3' Kit v4</t>
  </si>
  <si>
    <t xml:space="preserve">PN-1000691</t>
  </si>
  <si>
    <t xml:space="preserve">16 rxn</t>
  </si>
  <si>
    <t xml:space="preserve">unverified</t>
  </si>
  <si>
    <t xml:space="preserve">10X_Reagent_Ordering_Tracker.xlsx (June 2026) - not in July 2026 price list export, unverified</t>
  </si>
  <si>
    <t xml:space="preserve">Includes GEM Kit, Gel Bead Kit, Dynabeads, LCK C.</t>
  </si>
  <si>
    <t xml:space="preserve">K002</t>
  </si>
  <si>
    <t xml:space="preserve">Chromium GEM-X Single Cell 3' Chip Kit v4</t>
  </si>
  <si>
    <t xml:space="preserve">PN-1000690</t>
  </si>
  <si>
    <t xml:space="preserve">4 chips</t>
  </si>
  <si>
    <t xml:space="preserve">16 (4 channels/chip).</t>
  </si>
  <si>
    <t xml:space="preserve">K003</t>
  </si>
  <si>
    <t xml:space="preserve">Surface Protein</t>
  </si>
  <si>
    <t xml:space="preserve">Feature Barcode Kit v4 (3')</t>
  </si>
  <si>
    <t xml:space="preserve">PN-1000702</t>
  </si>
  <si>
    <t xml:space="preserve">2026-07-01</t>
  </si>
  <si>
    <t xml:space="preserve">10x Genomics store price list PDF (exported 2026-07-01)</t>
  </si>
  <si>
    <t xml:space="preserve">K004</t>
  </si>
  <si>
    <t xml:space="preserve">Library</t>
  </si>
  <si>
    <t xml:space="preserve">Dual Index Kit NT, Set A</t>
  </si>
  <si>
    <t xml:space="preserve">PN-1000242</t>
  </si>
  <si>
    <t xml:space="preserve">96 rxn</t>
  </si>
  <si>
    <t xml:space="preserve">Cell-surface-protein library indices. Shared part: this same kit (PN-1000242) is also used as the Feature Barcode/Protein index kit for the 5' v3 OCM (multiplex) workflow - not a separate SKU, don't order twice.</t>
  </si>
  <si>
    <t xml:space="preserve">K005</t>
  </si>
  <si>
    <t xml:space="preserve">3' v4 OCM</t>
  </si>
  <si>
    <t xml:space="preserve">GEM-X OCM 3' Chip Kit v4 4-plex (2 chips)</t>
  </si>
  <si>
    <t xml:space="preserve">PN-1000747</t>
  </si>
  <si>
    <t xml:space="preserve">2 chips</t>
  </si>
  <si>
    <t xml:space="preserve">OCM hardware multiplexing chip for 3' chemistry.</t>
  </si>
  <si>
    <t xml:space="preserve">K006</t>
  </si>
  <si>
    <t xml:space="preserve">GEM-X OCM 3' Chip Kit v4 4-plex (1 chip)</t>
  </si>
  <si>
    <t xml:space="preserve">PN-1000953</t>
  </si>
  <si>
    <t xml:space="preserve">1 chip</t>
  </si>
  <si>
    <t xml:space="preserve">K007</t>
  </si>
  <si>
    <t xml:space="preserve">GEM-X Universal 3' GEX v4 4-plex core reagents (16 samples)</t>
  </si>
  <si>
    <t xml:space="preserve">PN-1000779</t>
  </si>
  <si>
    <t xml:space="preserve">16 samp</t>
  </si>
  <si>
    <t xml:space="preserve">Core reagents for OCM 4-plex workflow - pairs with K031/K032 chip.</t>
  </si>
  <si>
    <t xml:space="preserve">K008</t>
  </si>
  <si>
    <t xml:space="preserve">GEM-X Universal 3' GEX v4 4-plex core reagents (8 samples)</t>
  </si>
  <si>
    <t xml:space="preserve">PN-1000957</t>
  </si>
  <si>
    <t xml:space="preserve">8 samp</t>
  </si>
  <si>
    <t xml:space="preserve">K009</t>
  </si>
  <si>
    <t xml:space="preserve">5' v3</t>
  </si>
  <si>
    <t xml:space="preserve">Chromium GEM-X Single Cell 5' Kit v3</t>
  </si>
  <si>
    <t xml:space="preserve">PN-1000699</t>
  </si>
  <si>
    <t xml:space="preserve">Core 5' assay. Includes Gel Beads, Dynabeads MyOne SILANE.</t>
  </si>
  <si>
    <t xml:space="preserve">K010</t>
  </si>
  <si>
    <t xml:space="preserve">Chromium GEM-X Single Cell 5' Kit v3 (4 rxn)</t>
  </si>
  <si>
    <t xml:space="preserve">PN-1000695</t>
  </si>
  <si>
    <t xml:space="preserve">4 rxn</t>
  </si>
  <si>
    <t xml:space="preserve">Core 5' assay, small format.</t>
  </si>
  <si>
    <t xml:space="preserve">K011</t>
  </si>
  <si>
    <t xml:space="preserve">Chromium GEM-X Single Cell 5' Chip Kit</t>
  </si>
  <si>
    <t xml:space="preserve">PN-1000698</t>
  </si>
  <si>
    <t xml:space="preserve">CORRECTED 2026-07-01: catalog previously listed this as PN-1000748 / 2 chips / $600, which is actually the OCM 4-plex chip variant, not the standard chip. Standard Chromium GEM-X Single Cell 5' Chip Kit v3 (4 chips, 16 channels) is PN-1000698, $1,250.</t>
  </si>
  <si>
    <t xml:space="preserve">K012</t>
  </si>
  <si>
    <t xml:space="preserve">GEX/Library</t>
  </si>
  <si>
    <t xml:space="preserve">Library Construction Kit C</t>
  </si>
  <si>
    <t xml:space="preserve">PN-1000694</t>
  </si>
  <si>
    <t xml:space="preserve">Extra LCK C may be needed when building both V(D)J and 5' GEX libraries from same cDNA.</t>
  </si>
  <si>
    <t xml:space="preserve">K013</t>
  </si>
  <si>
    <t xml:space="preserve">Dual Index Kit TT, Set A</t>
  </si>
  <si>
    <t xml:space="preserve">PN-1000215</t>
  </si>
  <si>
    <t xml:space="preserve">Library indices (GEX).</t>
  </si>
  <si>
    <t xml:space="preserve">K014</t>
  </si>
  <si>
    <t xml:space="preserve">V(D)J</t>
  </si>
  <si>
    <t xml:space="preserve">V(D)J Amplification Kit, Human TCR</t>
  </si>
  <si>
    <t xml:space="preserve">PN-1000252</t>
  </si>
  <si>
    <t xml:space="preserve">Order kit matching species + chain.</t>
  </si>
  <si>
    <t xml:space="preserve">K015</t>
  </si>
  <si>
    <t xml:space="preserve">V(D)J Amplification Kit, Human BCR</t>
  </si>
  <si>
    <t xml:space="preserve">PN-1000253</t>
  </si>
  <si>
    <t xml:space="preserve">K016</t>
  </si>
  <si>
    <t xml:space="preserve">Feature Barcode Kit v3</t>
  </si>
  <si>
    <t xml:space="preserve">PN-1000703</t>
  </si>
  <si>
    <t xml:space="preserve">K017</t>
  </si>
  <si>
    <t xml:space="preserve">Dual Index Kit TN, Set A</t>
  </si>
  <si>
    <t xml:space="preserve">PN-1000250</t>
  </si>
  <si>
    <t xml:space="preserve">Cell-surface-protein library indices.</t>
  </si>
  <si>
    <t xml:space="preserve">K018</t>
  </si>
  <si>
    <t xml:space="preserve">CRISPR</t>
  </si>
  <si>
    <t xml:space="preserve">5' CRISPR Kit</t>
  </si>
  <si>
    <t xml:space="preserve">PN-1000451</t>
  </si>
  <si>
    <t xml:space="preserve">K019</t>
  </si>
  <si>
    <t xml:space="preserve">GEM-X Universal 5' GEX cDNA Kit v3, 16 samples</t>
  </si>
  <si>
    <t xml:space="preserve">PN-1000826</t>
  </si>
  <si>
    <t xml:space="preserve">Optional standalone cDNA-only reagent format - alternative to the all-in-one core reagents kit (K001) if buying cDNA and gel bead/chip components separately.</t>
  </si>
  <si>
    <t xml:space="preserve">K020</t>
  </si>
  <si>
    <t xml:space="preserve">GEM-X Universal 5' GEX cDNA Kit v3, Automated, 16 samples</t>
  </si>
  <si>
    <t xml:space="preserve">PN-1000889</t>
  </si>
  <si>
    <t xml:space="preserve">Automated-workflow version of K037.</t>
  </si>
  <si>
    <t xml:space="preserve">K021</t>
  </si>
  <si>
    <t xml:space="preserve">Library Construction Kit C, Automated 24 rxns / Manual 32 rxns</t>
  </si>
  <si>
    <t xml:space="preserve">PN-1000774</t>
  </si>
  <si>
    <t xml:space="preserve">24-32 rxn</t>
  </si>
  <si>
    <t xml:space="preserve">Higher-throughput alternative to K004 (16 rxn kit) - cheaper per-reaction at scale.</t>
  </si>
  <si>
    <t xml:space="preserve">K022</t>
  </si>
  <si>
    <t xml:space="preserve">V(D)J Amplification Kit, Mouse TCR</t>
  </si>
  <si>
    <t xml:space="preserve">PN-1000254</t>
  </si>
  <si>
    <t xml:space="preserve">Mouse equivalent of K006 (Human TCR). Only needed for mouse studies.</t>
  </si>
  <si>
    <t xml:space="preserve">K023</t>
  </si>
  <si>
    <t xml:space="preserve">V(D)J Amplification Kit, Mouse BCR</t>
  </si>
  <si>
    <t xml:space="preserve">PN-1000255</t>
  </si>
  <si>
    <t xml:space="preserve">Mouse equivalent of K007 (Human BCR). Only needed for mouse studies.</t>
  </si>
  <si>
    <t xml:space="preserve">K024</t>
  </si>
  <si>
    <t xml:space="preserve">5' v3 OCM</t>
  </si>
  <si>
    <t xml:space="preserve">GEM-X OCM 5' Chip Kit v3 4-plex (2 chips)</t>
  </si>
  <si>
    <t xml:space="preserve">PN-1000748</t>
  </si>
  <si>
    <t xml:space="preserve">On-Chip Multiplexing (OCM) chip - 10x's native hardware multiplexing, an alternative to hashtag-oligo pooling. NEW: not yet reflected in Modality_Definitions/Protocol_Stages.</t>
  </si>
  <si>
    <t xml:space="preserve">K025</t>
  </si>
  <si>
    <t xml:space="preserve">GEM-X OCM 5' Chip Kit v3 4-plex (1 chip)</t>
  </si>
  <si>
    <t xml:space="preserve">PN-1000955</t>
  </si>
  <si>
    <t xml:space="preserve">Smaller-format OCM chip.</t>
  </si>
  <si>
    <t xml:space="preserve">K026</t>
  </si>
  <si>
    <t xml:space="preserve">GEM-X Universal 5' GEX v3 4-plex core reagents (16 samples)</t>
  </si>
  <si>
    <t xml:space="preserve">PN-1000780</t>
  </si>
  <si>
    <t xml:space="preserve">Core reagents for OCM 4-plex workflow - pairs with K027/K028 chip.</t>
  </si>
  <si>
    <t xml:space="preserve">K027</t>
  </si>
  <si>
    <t xml:space="preserve">GEM-X Universal 5' GEX v3 4-plex core reagents (8 samples)</t>
  </si>
  <si>
    <t xml:space="preserve">PN-1000956</t>
  </si>
  <si>
    <t xml:space="preserve">K028</t>
  </si>
  <si>
    <t xml:space="preserve">Any (nuclei-based)</t>
  </si>
  <si>
    <t xml:space="preserve">Sample Prep</t>
  </si>
  <si>
    <t xml:space="preserve">Nuclei Isolation Kit with RNase Inhibitor v2</t>
  </si>
  <si>
    <t xml:space="preserve">PN-1001101</t>
  </si>
  <si>
    <t xml:space="preserve">Optional add-on for ATAC/Multiome or nuclei-based workflows. Also listed on both the standard and OCM/multiplex 5' kit pages - same part, usable with 5' v3 if starting from nuclei.</t>
  </si>
  <si>
    <t xml:space="preserve">K029</t>
  </si>
  <si>
    <t xml:space="preserve">Chromium Nuclei Isolation Kit with RNase Inhibitor</t>
  </si>
  <si>
    <t xml:space="preserve">PN-1000494</t>
  </si>
  <si>
    <t xml:space="preserve">Older-format alternative to K035. Also appears on both 5' v3 kit pages (standard + OCM).</t>
  </si>
  <si>
    <t xml:space="preserve">K030</t>
  </si>
  <si>
    <t xml:space="preserve">Epi ATAC v2</t>
  </si>
  <si>
    <t xml:space="preserve">ATAC</t>
  </si>
  <si>
    <t xml:space="preserve">Chromium Next GEM Single Cell ATAC Kit v2</t>
  </si>
  <si>
    <t xml:space="preserve">PN-1000390</t>
  </si>
  <si>
    <t xml:space="preserve">Core assay kit. Includes Dynabeads MyOne SILANE.</t>
  </si>
  <si>
    <t xml:space="preserve">K031</t>
  </si>
  <si>
    <t xml:space="preserve">Chromium Next GEM Chip H Single Cell Kit</t>
  </si>
  <si>
    <t xml:space="preserve">PN-1000161</t>
  </si>
  <si>
    <t xml:space="preserve">48 rxn</t>
  </si>
  <si>
    <t xml:space="preserve">Microfluidic chips + gaskets.</t>
  </si>
  <si>
    <t xml:space="preserve">K032</t>
  </si>
  <si>
    <t xml:space="preserve">Chromium Next GEM Chip H Single Cell Kit (16 rxn)</t>
  </si>
  <si>
    <t xml:space="preserve">PN-1000162</t>
  </si>
  <si>
    <t xml:space="preserve">K033</t>
  </si>
  <si>
    <t xml:space="preserve">Single Index Kit N, Set A</t>
  </si>
  <si>
    <t xml:space="preserve">PN-1000212</t>
  </si>
  <si>
    <t xml:space="preserve">ATAC library indices.</t>
  </si>
  <si>
    <t xml:space="preserve">K034</t>
  </si>
  <si>
    <t xml:space="preserve">Epi Multiome</t>
  </si>
  <si>
    <t xml:space="preserve">Multiome</t>
  </si>
  <si>
    <t xml:space="preserve">GEM-X Epi Multiome Kit</t>
  </si>
  <si>
    <t xml:space="preserve">PN-1000979</t>
  </si>
  <si>
    <t xml:space="preserve">Includes GEM, Amp, Gel Bead, Dynabeads, ATAC kits.</t>
  </si>
  <si>
    <t xml:space="preserve">K035</t>
  </si>
  <si>
    <t xml:space="preserve">GEM-X Epi Multiome Chip Kit</t>
  </si>
  <si>
    <t xml:space="preserve">PN-1000951</t>
  </si>
  <si>
    <t xml:space="preserve">K036</t>
  </si>
  <si>
    <t xml:space="preserve">Flex v2</t>
  </si>
  <si>
    <t xml:space="preserve">GEM-X Flex v2 Core Reagents (16 samp)</t>
  </si>
  <si>
    <t xml:space="preserve">PN-1000927</t>
  </si>
  <si>
    <t xml:space="preserve">Fixation/quench/permeabilization reagents.</t>
  </si>
  <si>
    <t xml:space="preserve">K037</t>
  </si>
  <si>
    <t xml:space="preserve">GEM-X Flex v2 Core Reagents (96 samp)</t>
  </si>
  <si>
    <t xml:space="preserve">PN-1000928</t>
  </si>
  <si>
    <t xml:space="preserve">96 samp</t>
  </si>
  <si>
    <t xml:space="preserve">K038</t>
  </si>
  <si>
    <t xml:space="preserve">GEM-X Flex Gene Expression Chip Kit</t>
  </si>
  <si>
    <t xml:space="preserve">PN-1000791</t>
  </si>
  <si>
    <t xml:space="preserve">Inferred 16 rxn/kit (4 channels x 4 chips), matches K011 5' GEM-X chip kit; verify.</t>
  </si>
  <si>
    <t xml:space="preserve">K039</t>
  </si>
  <si>
    <t xml:space="preserve">Dual Index Kit TS, Set A</t>
  </si>
  <si>
    <t xml:space="preserve">PN-1000251</t>
  </si>
  <si>
    <t xml:space="preserve">GEX library indices.</t>
  </si>
  <si>
    <t xml:space="preserve">K040</t>
  </si>
  <si>
    <t xml:space="preserve">Protein</t>
  </si>
  <si>
    <t xml:space="preserve">Flex Feature Barcode Kit</t>
  </si>
  <si>
    <t xml:space="preserve">PN-1000628</t>
  </si>
  <si>
    <t xml:space="preserve">64 rxn</t>
  </si>
  <si>
    <t xml:space="preserve">K041</t>
  </si>
  <si>
    <t xml:space="preserve">GEM-X Flex Sample Preparation v2 Kit</t>
  </si>
  <si>
    <t xml:space="preserve">PN-1000781</t>
  </si>
  <si>
    <t xml:space="preserve">-</t>
  </si>
  <si>
    <t xml:space="preserve">Processes 48 cell-surface or 24 intracellular samples. Processes 48 samples (CG000782/CG000834).</t>
  </si>
  <si>
    <t xml:space="preserve">K042</t>
  </si>
  <si>
    <t xml:space="preserve">GEM-X Flex GEM &amp; Library Kit v2</t>
  </si>
  <si>
    <t xml:space="preserve">PN-1000918</t>
  </si>
  <si>
    <t xml:space="preserve">CG000834 Rev C names PN-1000918 (4 rxns) for Amp Mix C / GEM &amp; library reagents</t>
  </si>
  <si>
    <t xml:space="preserve">Price not in current price list export - VERIFY. Some GEM/library reagents may already be within Core Reagents (K036/K037); listed to avoid omission, left uncosted to avoid double-count.</t>
  </si>
  <si>
    <t xml:space="preserve">Additional_Supply_Catalog</t>
  </si>
  <si>
    <t xml:space="preserve">Admin-only. Third-party consumables. Source: 10X_Reagent_Ordering_Tracker.xlsx + Reagents list.xlsx</t>
  </si>
  <si>
    <t xml:space="preserve">item_id</t>
  </si>
  <si>
    <t xml:space="preserve">applies_to_protocol</t>
  </si>
  <si>
    <t xml:space="preserve">reagent</t>
  </si>
  <si>
    <t xml:space="preserve">vendor</t>
  </si>
  <si>
    <t xml:space="preserve">catalog_number</t>
  </si>
  <si>
    <t xml:space="preserve">Price</t>
  </si>
  <si>
    <t xml:space="preserve">Stock Size (Units)</t>
  </si>
  <si>
    <t xml:space="preserve">Stock Units</t>
  </si>
  <si>
    <t xml:space="preserve">last_purchase_date</t>
  </si>
  <si>
    <t xml:space="preserve">sourcing_note</t>
  </si>
  <si>
    <t xml:space="preserve">Reagents</t>
  </si>
  <si>
    <t xml:space="preserve">R001</t>
  </si>
  <si>
    <t xml:space="preserve">ASAP-seq</t>
  </si>
  <si>
    <t xml:space="preserve">Sterile Water</t>
  </si>
  <si>
    <t xml:space="preserve">Fisher Sci- Stockroom</t>
  </si>
  <si>
    <t xml:space="preserve">mL</t>
  </si>
  <si>
    <t xml:space="preserve">No purchase record found for 'Sterile Water' as a standalone item - likely sourced from a shared stockroom supply not tracked as an individual purchase, or made in-house (autoclaved). Recommend confirming with lab manager.</t>
  </si>
  <si>
    <t xml:space="preserve">R002</t>
  </si>
  <si>
    <t xml:space="preserve">ASAP-seq, CITE-seq, Sort</t>
  </si>
  <si>
    <t xml:space="preserve">PBS</t>
  </si>
  <si>
    <t xml:space="preserve">Stockroom</t>
  </si>
  <si>
    <t xml:space="preserve">10010-023</t>
  </si>
  <si>
    <t xml:space="preserve">2025-02-12</t>
  </si>
  <si>
    <t xml:space="preserve">PBS 1X, pH 7.4. Price has been rising slightly across recent orders ($16.70 -&gt; $19.02).</t>
  </si>
  <si>
    <t xml:space="preserve">R003</t>
  </si>
  <si>
    <t xml:space="preserve">5' Library Prep</t>
  </si>
  <si>
    <t xml:space="preserve">Ethanol, 200 proof anhydrous</t>
  </si>
  <si>
    <t xml:space="preserve">Millipore Sigma</t>
  </si>
  <si>
    <t xml:space="preserve">E7023-500ML</t>
  </si>
  <si>
    <t xml:space="preserve">Make fresh 80% day-of.</t>
  </si>
  <si>
    <t xml:space="preserve">No purchase record found for this exact catalog number (Millipore Sigma E7023-500ML). Closest recent related purchases are a different brand/grade: RPI Reagent Grade Ethanol 4L, $69.53-$80 (most recent 2025-02-25) - verify these are interchangeable for your protocol before substituting.</t>
  </si>
  <si>
    <t xml:space="preserve">R004</t>
  </si>
  <si>
    <t xml:space="preserve">Buffer EB</t>
  </si>
  <si>
    <t xml:space="preserve">QIAGEN</t>
  </si>
  <si>
    <t xml:space="preserve">19086</t>
  </si>
  <si>
    <t xml:space="preserve">Elution buffer, summed across elution steps.</t>
  </si>
  <si>
    <t xml:space="preserve">2025-11-22</t>
  </si>
  <si>
    <t xml:space="preserve">Price stable ~$49-50 across last 2 orders (special order via stockroom).</t>
  </si>
  <si>
    <t xml:space="preserve">R005</t>
  </si>
  <si>
    <t xml:space="preserve">SPRIselect Reagent Kit</t>
  </si>
  <si>
    <t xml:space="preserve">Beckman Coulter</t>
  </si>
  <si>
    <t xml:space="preserve">B23318</t>
  </si>
  <si>
    <t xml:space="preserve">Size selection / cleanups.</t>
  </si>
  <si>
    <t xml:space="preserve">2025-04-08</t>
  </si>
  <si>
    <t xml:space="preserve">Price has varied significantly across orders ($1,558-$1,669 range); most recent shown.</t>
  </si>
  <si>
    <t xml:space="preserve">R006</t>
  </si>
  <si>
    <t xml:space="preserve">All</t>
  </si>
  <si>
    <t xml:space="preserve">Qubit dsDNA HS Assay kit</t>
  </si>
  <si>
    <t xml:space="preserve">Thermo</t>
  </si>
  <si>
    <t xml:space="preserve">Q32854</t>
  </si>
  <si>
    <t xml:space="preserve">500 samples</t>
  </si>
  <si>
    <t xml:space="preserve">sample</t>
  </si>
  <si>
    <t xml:space="preserve">No exact match for PN Q32854. Closest possible successor product found: 'QUBIT 1X dsDNA HS Assay Kit, 500 rxn' (PN Q33231), Fisher Scientific, $381.65, purchased 2024-04-17 - may be a renumbered version of this kit; verify before ordering. Existing values below left unchanged.</t>
  </si>
  <si>
    <t xml:space="preserve">R007</t>
  </si>
  <si>
    <t xml:space="preserve">TapeStation HS D1000.</t>
  </si>
  <si>
    <t xml:space="preserve">Agilent Technologies</t>
  </si>
  <si>
    <t xml:space="preserve">5067-5584 (ScreenTape) + 5067-5585 (Reagents) + 5067-5587 (Ladder)</t>
  </si>
  <si>
    <t xml:space="preserve">kit</t>
  </si>
  <si>
    <t xml:space="preserve">Price = sum of most recent purchases of all 3 required TapeStation components (ScreenTape $398.67 + Reagents $135.80 + Ladder $71.78). Original catalog_number also listed 5067-4626, which is actually the Bioanalyzer HS DNA kit (different, older instrument) - not part of this TapeStation bundle. Lane/sample count per kit not specified in purchase record - verify with vendor.</t>
  </si>
  <si>
    <t xml:space="preserve">R008</t>
  </si>
  <si>
    <t xml:space="preserve">10% Tween 20</t>
  </si>
  <si>
    <t xml:space="preserve">Bio-Rad Laboratories</t>
  </si>
  <si>
    <t xml:space="preserve">1662404</t>
  </si>
  <si>
    <t xml:space="preserve">Component of Elution Solution I.</t>
  </si>
  <si>
    <t xml:space="preserve">2024-01-08</t>
  </si>
  <si>
    <t xml:space="preserve">Only 1 purchase record in history (Jan 2024) - consider reverifying current price before large orders.</t>
  </si>
  <si>
    <t xml:space="preserve">R009</t>
  </si>
  <si>
    <t xml:space="preserve">KAPA Library Quantification Kit</t>
  </si>
  <si>
    <t xml:space="preserve">Roche/KAPA</t>
  </si>
  <si>
    <t xml:space="preserve">KK4824</t>
  </si>
  <si>
    <t xml:space="preserve">No purchase record found for KAPA Library Quantification Kit (KK4824) in the provided lab spend history - vendor/price below are carried over from the original tracker, unverified.</t>
  </si>
  <si>
    <t xml:space="preserve">R010</t>
  </si>
  <si>
    <t xml:space="preserve">16% formaldehyde</t>
  </si>
  <si>
    <t xml:space="preserve">Life Technologies (special order)</t>
  </si>
  <si>
    <t xml:space="preserve">28906</t>
  </si>
  <si>
    <t xml:space="preserve">uL</t>
  </si>
  <si>
    <t xml:space="preserve">2024-06-01</t>
  </si>
  <si>
    <t xml:space="preserve">Pierce 16% Formaldehyde, methanol-free. A 10-ampule pack of the same PN is also available for $62.25 total (~$6.23/mL) - cheaper per-mL if buying in bulk.</t>
  </si>
  <si>
    <t xml:space="preserve">R011</t>
  </si>
  <si>
    <t xml:space="preserve">2M Glycine</t>
  </si>
  <si>
    <t xml:space="preserve">Thermo Fisher Scientific</t>
  </si>
  <si>
    <t xml:space="preserve">A13816.36</t>
  </si>
  <si>
    <t xml:space="preserve">g</t>
  </si>
  <si>
    <t xml:space="preserve">Glycine, 99% - only 1 purchase record found.</t>
  </si>
  <si>
    <t xml:space="preserve">R012</t>
  </si>
  <si>
    <t xml:space="preserve">IPEGAL</t>
  </si>
  <si>
    <t xml:space="preserve">R013</t>
  </si>
  <si>
    <t xml:space="preserve">empty place</t>
  </si>
  <si>
    <t xml:space="preserve">R014</t>
  </si>
  <si>
    <t xml:space="preserve">1uM Bridge Oligo</t>
  </si>
  <si>
    <t xml:space="preserve">No purchase record found for '1uM Bridge Oligo' - this is a custom/specialty oligo (likely made-to-order from IDT or similar), not something that would appear as a standard catalog purchase. Recommend sourcing directly from an oligo synthesis vendor.</t>
  </si>
  <si>
    <t xml:space="preserve">R015</t>
  </si>
  <si>
    <t xml:space="preserve">CITE-seq, ASAP-seq</t>
  </si>
  <si>
    <t xml:space="preserve">ADT TotalseqA antibody cocktail</t>
  </si>
  <si>
    <t xml:space="preserve">BioLegend</t>
  </si>
  <si>
    <t xml:space="preserve">399907 (TotalSeq-A)</t>
  </si>
  <si>
    <t xml:space="preserve">vial</t>
  </si>
  <si>
    <t xml:space="preserve">2025-01-09</t>
  </si>
  <si>
    <t xml:space="preserve">ADT = TotalSeq Universal Cocktail, used for CITE-seq/ASAP-seq antibody-derived tags. TotalSeq-C (5 test) = $4,546.50 (2025-01-09); TotalSeq-A (5 test) = $4,878.00 (2025-04-03). Price shown is for the C version; use A version price if that's what the protocol calls for.</t>
  </si>
  <si>
    <t xml:space="preserve">R016</t>
  </si>
  <si>
    <t xml:space="preserve">ADT TotalseqC antibody cocktail</t>
  </si>
  <si>
    <t xml:space="preserve">399905 (TotalSeq-C)</t>
  </si>
  <si>
    <t xml:space="preserve">R017</t>
  </si>
  <si>
    <t xml:space="preserve">CITE-seq, ASAP-seq, Sort</t>
  </si>
  <si>
    <t xml:space="preserve">HTO TotalseqA</t>
  </si>
  <si>
    <t xml:space="preserve">e.g. 394661-394689 (TotalSeq-C0251-0265 Hashtags)</t>
  </si>
  <si>
    <t xml:space="preserve">R018</t>
  </si>
  <si>
    <t xml:space="preserve">HTO TotalseqC</t>
  </si>
  <si>
    <t xml:space="preserve">HTO = individual TotalSeq Hashtag antibody vials, one per pool/sample. Price is per hashtag vial (recent purchases of hashtags 3, 4, 5, 15 all priced at $517 each). Need one vial per pool - do not reuse a hashtag within a batch.</t>
  </si>
  <si>
    <t xml:space="preserve">R019</t>
  </si>
  <si>
    <t xml:space="preserve">Human TruStain FcX (Fc block)</t>
  </si>
  <si>
    <t xml:space="preserve">422302</t>
  </si>
  <si>
    <t xml:space="preserve">OR TruStain FcX PLUS at 2 uL/sample.</t>
  </si>
  <si>
    <t xml:space="preserve">R020</t>
  </si>
  <si>
    <t xml:space="preserve">RPxx or D7xx </t>
  </si>
  <si>
    <t xml:space="preserve">No purchase record found for 'RPxx or D7xx' - these are typically Illumina/10x sample index primer names, not a separately purchased consumable (they usually come from the Dual Index Kit already in Kit_Catalog, e.g. K005/K009/K014). Recommend removing this row or cross-referencing Kit_Catalog instead.</t>
  </si>
  <si>
    <t xml:space="preserve">R021</t>
  </si>
  <si>
    <t xml:space="preserve">1M Tris-HCl pH 7.5</t>
  </si>
  <si>
    <t xml:space="preserve">Cayman Chemical Company</t>
  </si>
  <si>
    <t xml:space="preserve">600201</t>
  </si>
  <si>
    <t xml:space="preserve">2023-08-01</t>
  </si>
  <si>
    <t xml:space="preserve">1M Tris-HCl, pH 7.5. Only 1 purchase record found (2023) - reverify current price, it's 3 years stale.</t>
  </si>
  <si>
    <t xml:space="preserve">R022</t>
  </si>
  <si>
    <t xml:space="preserve">5M NaCl</t>
  </si>
  <si>
    <t xml:space="preserve">Santa Cruz Biotechnology</t>
  </si>
  <si>
    <t xml:space="preserve">sc-295832</t>
  </si>
  <si>
    <t xml:space="preserve">2023-07-31</t>
  </si>
  <si>
    <t xml:space="preserve">5M/1M NaCl solution. Only 1 purchase record found (2023) - reverify current price.</t>
  </si>
  <si>
    <t xml:space="preserve">R023</t>
  </si>
  <si>
    <t xml:space="preserve">1M MgCl2</t>
  </si>
  <si>
    <t xml:space="preserve">AM9530G</t>
  </si>
  <si>
    <t xml:space="preserve">2024-03-19</t>
  </si>
  <si>
    <t xml:space="preserve">1M MgCl2.</t>
  </si>
  <si>
    <t xml:space="preserve">R024</t>
  </si>
  <si>
    <t xml:space="preserve">NP40</t>
  </si>
  <si>
    <t xml:space="preserve">J19628.AP</t>
  </si>
  <si>
    <t xml:space="preserve">2024-01-10</t>
  </si>
  <si>
    <t xml:space="preserve">Nonidet P40 Substitute (NP-40 equivalent) - only 1 purchase record found.</t>
  </si>
  <si>
    <t xml:space="preserve">R025</t>
  </si>
  <si>
    <t xml:space="preserve">5% Digitonin</t>
  </si>
  <si>
    <t xml:space="preserve">Life Technologies</t>
  </si>
  <si>
    <t xml:space="preserve">BN2006</t>
  </si>
  <si>
    <t xml:space="preserve">2025-11-05</t>
  </si>
  <si>
    <t xml:space="preserve">Digitonin (5% stock).</t>
  </si>
  <si>
    <t xml:space="preserve">R026</t>
  </si>
  <si>
    <t xml:space="preserve">ASAP-seq, CITE-seq</t>
  </si>
  <si>
    <t xml:space="preserve">BSA (powder)</t>
  </si>
  <si>
    <t xml:space="preserve">VWR</t>
  </si>
  <si>
    <t xml:space="preserve">0332-25g</t>
  </si>
  <si>
    <t xml:space="preserve">2023-08-17</t>
  </si>
  <si>
    <t xml:space="preserve">10% Bovine Serum Albumin, Aqueous, Nuclease-Free - best available match for '10% BSA'. Only 1 purchase record found (2023) - reverify current price. A different product, MACS BSA Stock Solution (Miltenyi, 130-091-376), was also purchased more recently (Jan 2024) if that's an acceptable substitute.</t>
  </si>
  <si>
    <t xml:space="preserve">R027</t>
  </si>
  <si>
    <t xml:space="preserve">Thaw</t>
  </si>
  <si>
    <t xml:space="preserve">RPMI</t>
  </si>
  <si>
    <t xml:space="preserve">Various (stockroom)</t>
  </si>
  <si>
    <t xml:space="preserve">11875-093</t>
  </si>
  <si>
    <t xml:space="preserve">Thawing/wash media.</t>
  </si>
  <si>
    <t xml:space="preserve">RPMI +L-Glutamine - price has been very stable (~$6.24-6.78) across the last 2+ years.</t>
  </si>
  <si>
    <t xml:space="preserve">R028</t>
  </si>
  <si>
    <t xml:space="preserve">HEPES</t>
  </si>
  <si>
    <t xml:space="preserve">1M HEPES stock solution. Only 1 purchase record found (2023) - reverify current price.</t>
  </si>
  <si>
    <t xml:space="preserve">R029</t>
  </si>
  <si>
    <t xml:space="preserve">DNase (stock 10 mg/mL)</t>
  </si>
  <si>
    <t xml:space="preserve">STEMCELL Technologies</t>
  </si>
  <si>
    <t xml:space="preserve">07470</t>
  </si>
  <si>
    <t xml:space="preserve">High conc. for thaw, low conc. after.</t>
  </si>
  <si>
    <t xml:space="preserve">mg</t>
  </si>
  <si>
    <t xml:space="preserve">2026-04-20</t>
  </si>
  <si>
    <t xml:space="preserve">DNase I - price has been completely stable at $388 across 6 recent orders.</t>
  </si>
  <si>
    <t xml:space="preserve">R030</t>
  </si>
  <si>
    <t xml:space="preserve">APOI Dye</t>
  </si>
  <si>
    <t xml:space="preserve">Revvity</t>
  </si>
  <si>
    <t xml:space="preserve">CS2-0106-25ML</t>
  </si>
  <si>
    <t xml:space="preserve">No confident match found for 'APOI Dye' - likely a viability/live-dead stain but the exact product is unclear from this name. If this refers to a Zombie fixable viability dye, BioLegend's Zombie UV Fixable Viability Kit (PN 423108, ~$89-335 depending on pack size, most recent 2025-12-04) is the closest match in purchase history - please confirm the intended product.</t>
  </si>
  <si>
    <t xml:space="preserve">R031</t>
  </si>
  <si>
    <t xml:space="preserve">Sort</t>
  </si>
  <si>
    <t xml:space="preserve">Flow Antibodies</t>
  </si>
  <si>
    <t xml:space="preserve">'Flow Antibodies' is too generic to match to a single SKU - the specific antibody panel depends on which markers are being sorted for. Recommend listing each antibody as its own catalog row once the sort panel is finalized.</t>
  </si>
  <si>
    <t xml:space="preserve">R032</t>
  </si>
  <si>
    <t xml:space="preserve">Thaw, Sort</t>
  </si>
  <si>
    <t xml:space="preserve">FBS</t>
  </si>
  <si>
    <t xml:space="preserve">A5256801</t>
  </si>
  <si>
    <t xml:space="preserve">2024-09-16</t>
  </si>
  <si>
    <t xml:space="preserve">FBS (value grade). A higher-grade alternative, BenchMark FBS (GeminiBio, 100-106-500), was purchased more recently in smaller volume history - compare grades before restocking.</t>
  </si>
  <si>
    <t xml:space="preserve">R033</t>
  </si>
  <si>
    <t xml:space="preserve">Stim</t>
  </si>
  <si>
    <t xml:space="preserve">Stimulation Reagents/ treatments </t>
  </si>
  <si>
    <t xml:space="preserve">'Stimulation Reagents/treatments' is condition-dependent - see the existing Immune_Cell_Stimulation... reference table for specific stimulant catalog numbers per assay; not matchable to one SKU here.</t>
  </si>
  <si>
    <t xml:space="preserve">R034</t>
  </si>
  <si>
    <t xml:space="preserve">Bulk RNA</t>
  </si>
  <si>
    <t xml:space="preserve">Trizol</t>
  </si>
  <si>
    <t xml:space="preserve">Stockroom / Thermo Fisher Scientific</t>
  </si>
  <si>
    <t xml:space="preserve">10296-010</t>
  </si>
  <si>
    <t xml:space="preserve">2025-03-07</t>
  </si>
  <si>
    <t xml:space="preserve">TRIzol LS Reagent, 100 mL.</t>
  </si>
  <si>
    <t xml:space="preserve">R035</t>
  </si>
  <si>
    <t xml:space="preserve">Formaldehyde 37% (Fisher BioReagents)</t>
  </si>
  <si>
    <t xml:space="preserve">Fisher Scientific</t>
  </si>
  <si>
    <t xml:space="preserve">BP531-25</t>
  </si>
  <si>
    <t xml:space="preserve">Fisher BioReagents BP531-25, 25 mL. List ~$101.25 (Cole-Parmer, 2026) - verify institutional price.</t>
  </si>
  <si>
    <t xml:space="preserve">Flex Fixation Buffer B (60 uL/sample). Price not on file - VERIFY.</t>
  </si>
  <si>
    <t xml:space="preserve">R036</t>
  </si>
  <si>
    <t xml:space="preserve">Glycerol, &gt;=99% (mol. biology)</t>
  </si>
  <si>
    <t xml:space="preserve">G5516-100ML</t>
  </si>
  <si>
    <t xml:space="preserve">Sigma G5516-100ML, 100 mL. List ~$62.79 (Midland Sci, 2026) - verify institutional price.</t>
  </si>
  <si>
    <t xml:space="preserve">50% glycerol for -80C storage / unused chip wells (CG000782/CG000834). Price not on file - VERIFY.</t>
  </si>
  <si>
    <t xml:space="preserve">Supplies</t>
  </si>
  <si>
    <t xml:space="preserve">S001</t>
  </si>
  <si>
    <t xml:space="preserve">1000 µl pipette tips</t>
  </si>
  <si>
    <t xml:space="preserve">Rainin (Mettler-Toledo)</t>
  </si>
  <si>
    <t xml:space="preserve">17007089</t>
  </si>
  <si>
    <t xml:space="preserve">As needed</t>
  </si>
  <si>
    <t xml:space="preserve">tip</t>
  </si>
  <si>
    <t xml:space="preserve">2025-04-03</t>
  </si>
  <si>
    <t xml:space="preserve">S002</t>
  </si>
  <si>
    <t xml:space="preserve">200 µl pipette tips</t>
  </si>
  <si>
    <t xml:space="preserve">30389187</t>
  </si>
  <si>
    <t xml:space="preserve">Filtered/low-retention variant (RT UNV...FL) chosen for RNA-sensitive work. A non-filtered 'GP UNV' version (PN 30389266) is available for $166/box if filtering isn't required.</t>
  </si>
  <si>
    <t xml:space="preserve">S003</t>
  </si>
  <si>
    <t xml:space="preserve">20 µl pipette tips</t>
  </si>
  <si>
    <t xml:space="preserve">Rainin</t>
  </si>
  <si>
    <t xml:space="preserve">No matching purchase record found for 20 uL Rainin tips specifically. Purchase history only shows the L-20XLS+ pipette instrument itself, plus 200uL/1000uL tip refills. Recommend checking directly with the vendor or stockroom.</t>
  </si>
  <si>
    <t xml:space="preserve">S004</t>
  </si>
  <si>
    <t xml:space="preserve">DNA LoBind Tubes 1.5mL</t>
  </si>
  <si>
    <t xml:space="preserve">Eppendorf</t>
  </si>
  <si>
    <t xml:space="preserve">022431021</t>
  </si>
  <si>
    <t xml:space="preserve">tube</t>
  </si>
  <si>
    <t xml:space="preserve">2026-06-25</t>
  </si>
  <si>
    <t xml:space="preserve">Purchase history only shows the 1.5 mL, 250-tube pack (022431021); the 2.0 mL variant (022431048) referenced in catalog_number had no matching purchase record.</t>
  </si>
  <si>
    <t xml:space="preserve">S005</t>
  </si>
  <si>
    <t xml:space="preserve">DNA LoBind Tubes 2mL</t>
  </si>
  <si>
    <t xml:space="preserve">S006</t>
  </si>
  <si>
    <t xml:space="preserve">15mL Conical Tube</t>
  </si>
  <si>
    <t xml:space="preserve">S007</t>
  </si>
  <si>
    <t xml:space="preserve">50mL Conical Tube</t>
  </si>
  <si>
    <t xml:space="preserve">S008</t>
  </si>
  <si>
    <t xml:space="preserve">PCR 8-Tube Strips (0.2 mL)</t>
  </si>
  <si>
    <t xml:space="preserve">USA Scientific</t>
  </si>
  <si>
    <t xml:space="preserve">1402-1800</t>
  </si>
  <si>
    <t xml:space="preserve">Thermal cycling.</t>
  </si>
  <si>
    <t xml:space="preserve">strip</t>
  </si>
  <si>
    <t xml:space="preserve">S009</t>
  </si>
  <si>
    <t xml:space="preserve">Nexcelom Counting Plate</t>
  </si>
  <si>
    <t xml:space="preserve">CHM24-A100-020</t>
  </si>
  <si>
    <t xml:space="preserve">plate</t>
  </si>
  <si>
    <t xml:space="preserve">No purchase record found for 'Nexcelom Counting Plate' - Nexcelom-specific consumables didn't appear in this export. Recommend checking directly with Nexcelom/PerkinElmer or the stockroom.</t>
  </si>
  <si>
    <t xml:space="preserve">S010</t>
  </si>
  <si>
    <t xml:space="preserve">Thawsomes</t>
  </si>
  <si>
    <t xml:space="preserve">Aridica</t>
  </si>
  <si>
    <t xml:space="preserve">each</t>
  </si>
  <si>
    <t xml:space="preserve">No purchase record found for 'Thawsomes' - not a standard catalog item name (possibly an in-house nickname for cell-freezing containers, e.g. Mr. Frosty/CoolCell equivalents). Recommend clarifying the actual product with whoever wrote the original protocol.</t>
  </si>
  <si>
    <t xml:space="preserve">S011</t>
  </si>
  <si>
    <t xml:space="preserve">40um Flowmi Strainer</t>
  </si>
  <si>
    <t xml:space="preserve">Sigma Aldrich</t>
  </si>
  <si>
    <t xml:space="preserve">BAH136800070-50EA</t>
  </si>
  <si>
    <t xml:space="preserve">2024-01-29</t>
  </si>
  <si>
    <t xml:space="preserve">40um Flowmi Cell Strainers.</t>
  </si>
  <si>
    <t xml:space="preserve">S012</t>
  </si>
  <si>
    <t xml:space="preserve">Qubit™ Assay Tubes</t>
  </si>
  <si>
    <t xml:space="preserve">Thermo </t>
  </si>
  <si>
    <t xml:space="preserve">Q32856</t>
  </si>
  <si>
    <t xml:space="preserve">No exact match for PN Q32856. If the lab has moved to the Qubit Flex platform, note that 'Qubit Flex Pyrogen-Free Tube Strip' (PN Q32893) was purchased most recently (2026-06-10, $296/120 = $2.47/tube) - confirm which platform is in current use. Existing values below left unchanged.</t>
  </si>
  <si>
    <t xml:space="preserve">S013</t>
  </si>
  <si>
    <t xml:space="preserve">5mL FACS Tube</t>
  </si>
  <si>
    <t xml:space="preserve">Falcon</t>
  </si>
  <si>
    <t xml:space="preserve">352235</t>
  </si>
  <si>
    <t xml:space="preserve">5 mL round-bottom tube w/ cell-strainer cap. Price not on file - VERIFY.</t>
  </si>
  <si>
    <t xml:space="preserve">R053</t>
  </si>
  <si>
    <t xml:space="preserve">Flex v2 / QC / sort</t>
  </si>
  <si>
    <t xml:space="preserve">TapeStation HS D5000</t>
  </si>
  <si>
    <t xml:space="preserve">Agilent</t>
  </si>
  <si>
    <t xml:space="preserve">5067-5592 (ScreenTape) + 5067-5593 (reagents)</t>
  </si>
  <si>
    <t xml:space="preserve">cDNA/amplicon QC. Price not on file - VERIFY. (Per-sample costing needs kit sample capacity.)</t>
  </si>
  <si>
    <t xml:space="preserve">R054</t>
  </si>
  <si>
    <t xml:space="preserve">RNA Isolation Kit</t>
  </si>
  <si>
    <t xml:space="preserve">Qiagen/Zymo</t>
  </si>
  <si>
    <t xml:space="preserve">VERIFY</t>
  </si>
  <si>
    <t xml:space="preserve">Bulk RNA extraction. Vendor/PN/price not on file - VERIFY.</t>
  </si>
  <si>
    <t xml:space="preserve">R055</t>
  </si>
  <si>
    <t xml:space="preserve">Sort Antibody Cocktail</t>
  </si>
  <si>
    <t xml:space="preserve">custom panel</t>
  </si>
  <si>
    <t xml:space="preserve">FACS sort panel - lab-specific. Price not on file - VERIFY.</t>
  </si>
  <si>
    <t xml:space="preserve">R056</t>
  </si>
  <si>
    <t xml:space="preserve">L/D Zombie Red (viability dye)</t>
  </si>
  <si>
    <t xml:space="preserve">423109</t>
  </si>
  <si>
    <t xml:space="preserve">Viability stain. Price not on file - VERIFY.</t>
  </si>
  <si>
    <t xml:space="preserve">test</t>
  </si>
  <si>
    <t xml:space="preserve">R057</t>
  </si>
  <si>
    <t xml:space="preserve">Compensation beads</t>
  </si>
  <si>
    <t xml:space="preserve">Thermo/BD</t>
  </si>
  <si>
    <t xml:space="preserve">01-2222-42</t>
  </si>
  <si>
    <t xml:space="preserve">Flow compensation. Price not on file - VERIFY.</t>
  </si>
  <si>
    <t xml:space="preserve">R059</t>
  </si>
  <si>
    <t xml:space="preserve">2x KAPA HiFi HotStart ReadyMix</t>
  </si>
  <si>
    <t xml:space="preserve">Roche</t>
  </si>
  <si>
    <t xml:space="preserve">KK2602</t>
  </si>
  <si>
    <t xml:space="preserve">ASAP tag PCR. Price not on file - VERIFY.</t>
  </si>
  <si>
    <t xml:space="preserve">R060</t>
  </si>
  <si>
    <t xml:space="preserve">ASAP-P5 / index primer (custom oligo)</t>
  </si>
  <si>
    <t xml:space="preserve">IDT</t>
  </si>
  <si>
    <t xml:space="preserve">custom</t>
  </si>
  <si>
    <t xml:space="preserve">ASAP tag PCR primers. Price not on file - VERIFY.</t>
  </si>
  <si>
    <t xml:space="preserve">nmol</t>
  </si>
  <si>
    <t xml:space="preserve">S014</t>
  </si>
  <si>
    <t xml:space="preserve">FACS tube filter cap (35um)</t>
  </si>
  <si>
    <t xml:space="preserve">cap</t>
  </si>
  <si>
    <t xml:space="preserve">Batch X</t>
  </si>
  <si>
    <t xml:space="preserve">#</t>
  </si>
  <si>
    <t xml:space="preserve">sample ID</t>
  </si>
  <si>
    <t xml:space="preserve">Visit</t>
  </si>
  <si>
    <t xml:space="preserve">Group</t>
  </si>
  <si>
    <t xml:space="preserve">Pool</t>
  </si>
  <si>
    <t xml:space="preserve">Live %</t>
  </si>
  <si>
    <t xml:space="preserve">Total Viable Cell Count (/mL)</t>
  </si>
  <si>
    <t xml:space="preserve">Vol. Dilute for count (mL)</t>
  </si>
  <si>
    <t xml:space="preserve">Total Viable Cells</t>
  </si>
  <si>
    <t xml:space="preserve">Cells pooled for sort</t>
  </si>
  <si>
    <t xml:space="preserve">Pool Volume (uL) -- sort</t>
  </si>
  <si>
    <t xml:space="preserve">Cells pooled for unsort</t>
  </si>
  <si>
    <t xml:space="preserve">Pool Volume (uL) -- unsort</t>
  </si>
  <si>
    <t xml:space="preserve">Cells to RNA </t>
  </si>
  <si>
    <t xml:space="preserve">Volume to RNA (uL)</t>
  </si>
  <si>
    <t xml:space="preserve">V00</t>
  </si>
  <si>
    <t xml:space="preserve">P</t>
  </si>
  <si>
    <t xml:space="preserve">Admin-only. Source: Handbook_Setting up a Single Cell Experiment (Ayers/Benmelech). Drives which stages + kits a plan pulls in.</t>
  </si>
  <si>
    <t xml:space="preserve">modality_id</t>
  </si>
  <si>
    <t xml:space="preserve">modality</t>
  </si>
  <si>
    <t xml:space="preserve">required_stage_ids</t>
  </si>
  <si>
    <t xml:space="preserve">default_target_recovered_cells</t>
  </si>
  <si>
    <t xml:space="preserve">typical_doublet_rate</t>
  </si>
  <si>
    <t xml:space="preserve">M001</t>
  </si>
  <si>
    <t xml:space="preserve">scRNAseq</t>
  </si>
  <si>
    <t xml:space="preserve">GEM-X 5' v3</t>
  </si>
  <si>
    <t xml:space="preserve">8000-10000 (single sample/channel)</t>
  </si>
  <si>
    <t xml:space="preserve">7.6% at 10k</t>
  </si>
  <si>
    <t xml:space="preserve">Standard immune profiling.</t>
  </si>
  <si>
    <t xml:space="preserve">M002</t>
  </si>
  <si>
    <t xml:space="preserve">CITEseq</t>
  </si>
  <si>
    <t xml:space="preserve">5000/sample if 4-plex (20000/channel)</t>
  </si>
  <si>
    <t xml:space="preserve">~15% at 20k, mitigated by hashtag demux</t>
  </si>
  <si>
    <t xml:space="preserve">Adds ADT library; needs antibody panel + Fc block.</t>
  </si>
  <si>
    <t xml:space="preserve">M003</t>
  </si>
  <si>
    <t xml:space="preserve">ASAPseq</t>
  </si>
  <si>
    <t xml:space="preserve">Epi ATAC (TotalSeq-A)</t>
  </si>
  <si>
    <t xml:space="preserve">3000-5000 (FACS-enriched)</t>
  </si>
  <si>
    <t xml:space="preserve">Lower; enrichment reduces load needed</t>
  </si>
  <si>
    <t xml:space="preserve">Nuclei prep, Tn5 tagmentation - time sensitive.</t>
  </si>
  <si>
    <t xml:space="preserve">M004</t>
  </si>
  <si>
    <t xml:space="preserve">VDJ (TCR/BCR)</t>
  </si>
  <si>
    <t xml:space="preserve">GEM-X GEM-X 5' v3 (add-on)</t>
  </si>
  <si>
    <t xml:space="preserve">N/A - derived from GEX cDNA</t>
  </si>
  <si>
    <t xml:space="preserve">N/A</t>
  </si>
  <si>
    <t xml:space="preserve">Needs enough T/B cells for clonal expansion (~250+ cells min.).</t>
  </si>
  <si>
    <t xml:space="preserve">M005</t>
  </si>
  <si>
    <t xml:space="preserve">Cell sorting (FACS enrichment)</t>
  </si>
  <si>
    <t xml:space="preserve">Depends on target population</t>
  </si>
  <si>
    <t xml:space="preserve">~0.5% of PBMCs for pDCs, e.g.; send more cells for rare populations.</t>
  </si>
  <si>
    <t xml:space="preserve">M006</t>
  </si>
  <si>
    <t xml:space="preserve">In vitro stimulation</t>
  </si>
  <si>
    <t xml:space="preserve">Reserve 100-500k cells/sample pre-stim; see Immune Cell Stimulation Assays Table.</t>
  </si>
  <si>
    <t xml:space="preserve">M007</t>
  </si>
  <si>
    <t xml:space="preserve">Flex (fixed RNA profiling)</t>
  </si>
  <si>
    <t xml:space="preserve">10000-27000/sample (no sort)</t>
  </si>
  <si>
    <t xml:space="preserve">Lower - probe-based, less doublet-sensitive</t>
  </si>
  <si>
    <t xml:space="preserve">Good for banked/fixed samples; different sample-prep track.</t>
  </si>
  <si>
    <t xml:space="preserve">Admin-only. Modular building blocks replacing the fragmented per-experiment protocols. Source: in-progress Handbook + MADI/IDVax batch docs.</t>
  </si>
  <si>
    <t xml:space="preserve">stage_id</t>
  </si>
  <si>
    <t xml:space="preserve">stage_name</t>
  </si>
  <si>
    <t xml:space="preserve">stage_description</t>
  </si>
  <si>
    <t xml:space="preserve">typical_time_window</t>
  </si>
  <si>
    <t xml:space="preserve">personnel_rule</t>
  </si>
  <si>
    <t xml:space="preserve">prerequisite_stage_id</t>
  </si>
  <si>
    <t xml:space="preserve">source_protocol_doc</t>
  </si>
  <si>
    <t xml:space="preserve">ST1</t>
  </si>
  <si>
    <t xml:space="preserve">thaw</t>
  </si>
  <si>
    <t xml:space="preserve">Cell thawing / PBMC prep &amp; Pooling</t>
  </si>
  <si>
    <t xml:space="preserve">7-10am</t>
  </si>
  <si>
    <t xml:space="preserve">1 worker per ~18 samples</t>
  </si>
  <si>
    <t xml:space="preserve">PBMC_Isolation_120225_AAannotated.docx / Handbook</t>
  </si>
  <si>
    <t xml:space="preserve">Warm media 20 min ahead; centrifuge thaw 10 min @350g.</t>
  </si>
  <si>
    <t xml:space="preserve">ST2</t>
  </si>
  <si>
    <t xml:space="preserve">hash</t>
  </si>
  <si>
    <t xml:space="preserve">Pool &amp; hash (sample pooling, HTO labeling)</t>
  </si>
  <si>
    <t xml:space="preserve">Immediately after thaw</t>
  </si>
  <si>
    <t xml:space="preserve">1 worker per ~27 samples</t>
  </si>
  <si>
    <t xml:space="preserve">Handbook Batch Organization section</t>
  </si>
  <si>
    <t xml:space="preserve">No 2 samples from same donor/related subject in one pool.</t>
  </si>
  <si>
    <t xml:space="preserve">ST3</t>
  </si>
  <si>
    <t xml:space="preserve">CITE-seq</t>
  </si>
  <si>
    <t xml:space="preserve">CITE-seq antibody staining</t>
  </si>
  <si>
    <t xml:space="preserve">After pooling</t>
  </si>
  <si>
    <t xml:space="preserve">1 dedicated worker</t>
  </si>
  <si>
    <t xml:space="preserve">CITE-seq Batch2 protocol - AJ.docx; CITEseq_protocol_full.pdf</t>
  </si>
  <si>
    <t xml:space="preserve">Fc block first; titrate antibody panel in advance.</t>
  </si>
  <si>
    <t xml:space="preserve">ST4</t>
  </si>
  <si>
    <t xml:space="preserve">ASAP-seq nuclei prep / tagmentation</t>
  </si>
  <si>
    <t xml:space="preserve">After pooling, parallel to ST3</t>
  </si>
  <si>
    <t xml:space="preserve">ASAP_protocol_CHI.pdf</t>
  </si>
  <si>
    <t xml:space="preserve">Time-sensitive Tn5 step - do not delay.</t>
  </si>
  <si>
    <t xml:space="preserve">ST5</t>
  </si>
  <si>
    <t xml:space="preserve">sort</t>
  </si>
  <si>
    <t xml:space="preserve">Cell sorting (FACS)</t>
  </si>
  <si>
    <t xml:space="preserve">Parallel to ST3/ST4</t>
  </si>
  <si>
    <t xml:space="preserve">1 dedicated worker + Flow Core slot</t>
  </si>
  <si>
    <t xml:space="preserve">Handbook Hoods/sorter section</t>
  </si>
  <si>
    <t xml:space="preserve">Book Yale Flow Core in advance; separate sort vs. unsort tubes.</t>
  </si>
  <si>
    <t xml:space="preserve">ST6</t>
  </si>
  <si>
    <t xml:space="preserve">5'-GEM</t>
  </si>
  <si>
    <t xml:space="preserve">5' GEM generation &amp; loading</t>
  </si>
  <si>
    <t xml:space="preserve">After staining/sorting complete</t>
  </si>
  <si>
    <t xml:space="preserve">1-2 workers</t>
  </si>
  <si>
    <t xml:space="preserve">10x user guides (CG000733 etc.)</t>
  </si>
  <si>
    <t xml:space="preserve">Superload per lab convention (skip water dilution step).</t>
  </si>
  <si>
    <t xml:space="preserve">ST7</t>
  </si>
  <si>
    <t xml:space="preserve">ATAC-GEM</t>
  </si>
  <si>
    <t xml:space="preserve">Epi ATAC GEM generation &amp; loading</t>
  </si>
  <si>
    <t xml:space="preserve">ST8</t>
  </si>
  <si>
    <t xml:space="preserve">5'-GEX</t>
  </si>
  <si>
    <t xml:space="preserve">5' GEX Library construction &amp; QC</t>
  </si>
  <si>
    <t xml:space="preserve">Days 1-5 post GEM</t>
  </si>
  <si>
    <t xml:space="preserve">1-2 workers, ~1 week</t>
  </si>
  <si>
    <t xml:space="preserve">10x user guides; SPRIselect User Guide</t>
  </si>
  <si>
    <t xml:space="preserve">cDNA QC -&gt; library construction -&gt; library QC -&gt; submit to YCGA.</t>
  </si>
  <si>
    <t xml:space="preserve">ST9</t>
  </si>
  <si>
    <t xml:space="preserve">5'-VDJ</t>
  </si>
  <si>
    <t xml:space="preserve">5' V(D)J Library Construction</t>
  </si>
  <si>
    <t xml:space="preserve">ST10</t>
  </si>
  <si>
    <t xml:space="preserve">5'-ADT</t>
  </si>
  <si>
    <t xml:space="preserve">5' ADT Library Construction</t>
  </si>
  <si>
    <t xml:space="preserve">ST11</t>
  </si>
  <si>
    <t xml:space="preserve">ATAC-ADT</t>
  </si>
  <si>
    <t xml:space="preserve">Epi ATAC ADT Library Construction</t>
  </si>
  <si>
    <t xml:space="preserve">ST12</t>
  </si>
  <si>
    <t xml:space="preserve">Epi ATAC Library Construction</t>
  </si>
  <si>
    <t xml:space="preserve">ST13</t>
  </si>
  <si>
    <t xml:space="preserve">stim</t>
  </si>
  <si>
    <t xml:space="preserve">In vitro stimulation assay</t>
  </si>
  <si>
    <t xml:space="preserve">Parallel track, separate reserved cells</t>
  </si>
  <si>
    <t xml:space="preserve">1 worker</t>
  </si>
  <si>
    <t xml:space="preserve">Immune Cell Stimulation Assays Table.xlsx</t>
  </si>
  <si>
    <t xml:space="preserve">Reserve leftover cells after pooling; assay per stim condition chosen.</t>
  </si>
  <si>
    <t xml:space="preserve">ST14</t>
  </si>
  <si>
    <t xml:space="preserve">Bulk-RNA</t>
  </si>
  <si>
    <t xml:space="preserve">Bulk RNA (Trizol) reserve</t>
  </si>
  <si>
    <t xml:space="preserve">After pooling, opportunistic</t>
  </si>
  <si>
    <t xml:space="preserve">Trizol RNA Isolation SOP.pdf</t>
  </si>
  <si>
    <t xml:space="preserve">Reserve 100-500k leftover cells per sample.</t>
  </si>
  <si>
    <t xml:space="preserve">ST15</t>
  </si>
  <si>
    <t xml:space="preserve">sequence</t>
  </si>
  <si>
    <t xml:space="preserve">Sequencing submission (YCGA)</t>
  </si>
  <si>
    <t xml:space="preserve">After library QC</t>
  </si>
  <si>
    <t xml:space="preserve">YCGA submission.docx</t>
  </si>
  <si>
    <t xml:space="preserve">Submit via iLAB; confirm grant to charge with lab manager.</t>
  </si>
  <si>
    <t xml:space="preserve">ST16</t>
  </si>
  <si>
    <t xml:space="preserve">Flex fixation / sample prep</t>
  </si>
  <si>
    <t xml:space="preserve">Pre-experiment or day-of (fixed samples)</t>
  </si>
  <si>
    <t xml:space="preserve">GEM-X Flex v2 protocols (CG000833/834/835)</t>
  </si>
  <si>
    <t xml:space="preserve">Different track from live-cell thaw; can be banked ahead of time.</t>
  </si>
  <si>
    <t xml:space="preserve">Admin-only. Source: Sequencing Options and Pricing.xlsx (2025/2026 quotes). Refresh yearly.</t>
  </si>
  <si>
    <t xml:space="preserve">platform_id</t>
  </si>
  <si>
    <t xml:space="preserve">platform</t>
  </si>
  <si>
    <t xml:space="preserve">configuration</t>
  </si>
  <si>
    <t xml:space="preserve">price_per_M_reads</t>
  </si>
  <si>
    <t xml:space="preserve">reads</t>
  </si>
  <si>
    <t xml:space="preserve">max_cycles</t>
  </si>
  <si>
    <t xml:space="preserve">Nextseq 2000 (YCGA)</t>
  </si>
  <si>
    <t xml:space="preserve">50c P4</t>
  </si>
  <si>
    <t xml:space="preserve">1.8B</t>
  </si>
  <si>
    <t xml:space="preserve">Walk-up, requires iLAB reservation + training.</t>
  </si>
  <si>
    <t xml:space="preserve">100c P4</t>
  </si>
  <si>
    <t xml:space="preserve">100c P3</t>
  </si>
  <si>
    <t xml:space="preserve">1.2B</t>
  </si>
  <si>
    <t xml:space="preserve">100c P2</t>
  </si>
  <si>
    <t xml:space="preserve">400M</t>
  </si>
  <si>
    <t xml:space="preserve">Novaseq (YCGA)</t>
  </si>
  <si>
    <t xml:space="preserve">2x150 group flowcell</t>
  </si>
  <si>
    <t xml:space="preserve">Purchase by # reads; pooled with other labs. + $25/sample QC.</t>
  </si>
  <si>
    <t xml:space="preserve">SP 2x150 (full flowcell)</t>
  </si>
  <si>
    <t xml:space="preserve">650-800M</t>
  </si>
  <si>
    <t xml:space="preserve">Purchase entire flowcell. + $25/sample QC.</t>
  </si>
  <si>
    <t xml:space="preserve">MiSeq (YCGA)</t>
  </si>
  <si>
    <t xml:space="preserve">500c</t>
  </si>
  <si>
    <t xml:space="preserve">22-25M</t>
  </si>
  <si>
    <t xml:space="preserve">Aviti (YCGA)</t>
  </si>
  <si>
    <t xml:space="preserve">2x150 High Output</t>
  </si>
  <si>
    <t xml:space="preserve">1B</t>
  </si>
  <si>
    <t xml:space="preserve">+ $25/sample QC.</t>
  </si>
  <si>
    <t xml:space="preserve">Nanopore MinION</t>
  </si>
  <si>
    <t xml:space="preserve">Long read</t>
  </si>
  <si>
    <t xml:space="preserve">48Gb</t>
  </si>
  <si>
    <t xml:space="preserve">Available in Chung Lab; reagents extra.</t>
  </si>
  <si>
    <t xml:space="preserve">Ultima (Novogene, external)</t>
  </si>
  <si>
    <t xml:space="preserve">300bp single end</t>
  </si>
  <si>
    <t xml:space="preserve">10B</t>
  </si>
  <si>
    <t xml:space="preserve">V(D)J library sequencing NOT supported.</t>
  </si>
  <si>
    <t xml:space="preserve">Lab-editable. Replace example rows with your real roster. trained_stage_ids references Protocol_Stages (comma-separated).</t>
  </si>
  <si>
    <t xml:space="preserve">person_id</t>
  </si>
  <si>
    <t xml:space="preserve">name</t>
  </si>
  <si>
    <t xml:space="preserve">role</t>
  </si>
  <si>
    <t xml:space="preserve">trained_stage_ids</t>
  </si>
  <si>
    <t xml:space="preserve">weekly_availability</t>
  </si>
  <si>
    <t xml:space="preserve">active</t>
  </si>
  <si>
    <t xml:space="preserve">P001</t>
  </si>
  <si>
    <t xml:space="preserve">Example: Person A</t>
  </si>
  <si>
    <t xml:space="preserve">Grad student</t>
  </si>
  <si>
    <t xml:space="preserve">ST1,ST2,ST6,ST7</t>
  </si>
  <si>
    <t xml:space="preserve">Mon/Wed/Fri</t>
  </si>
  <si>
    <t xml:space="preserve">Yes</t>
  </si>
  <si>
    <t xml:space="preserve">EXAMPLE ROW - replace with real roster</t>
  </si>
  <si>
    <t xml:space="preserve">P002</t>
  </si>
  <si>
    <t xml:space="preserve">Example: Person B</t>
  </si>
  <si>
    <t xml:space="preserve">Research assistant</t>
  </si>
  <si>
    <t xml:space="preserve">ST1,ST3,ST6</t>
  </si>
  <si>
    <t xml:space="preserve">Tue/Thu</t>
  </si>
  <si>
    <t xml:space="preserve">P003</t>
  </si>
  <si>
    <t xml:space="preserve">Example: Person C</t>
  </si>
  <si>
    <t xml:space="preserve">Postdoc</t>
  </si>
  <si>
    <t xml:space="preserve">ST4,ST5,ST8</t>
  </si>
  <si>
    <t xml:space="preserve">Flexible</t>
  </si>
  <si>
    <t xml:space="preserve">Cell_Flow_Assumptions</t>
  </si>
  <si>
    <t xml:space="preserve">Editable cell-count assumptions for the cell-flow diagram (planner Workflow tab). Edit default_value cells and re-upload; keep assumption_id and column headers unchanged.</t>
  </si>
  <si>
    <t xml:space="preserve">assumption_id</t>
  </si>
  <si>
    <t xml:space="preserve">label</t>
  </si>
  <si>
    <t xml:space="preserve">default_value</t>
  </si>
  <si>
    <t xml:space="preserve">units</t>
  </si>
  <si>
    <t xml:space="preserve">cells_per_sample_start</t>
  </si>
  <si>
    <t xml:space="preserve">Assumed cells available per sample</t>
  </si>
  <si>
    <t xml:space="preserve">cells/sample</t>
  </si>
  <si>
    <t xml:space="preserve">Context only; the pooling take is fixed regardless of a sample’s actual count.</t>
  </si>
  <si>
    <t xml:space="preserve">cells_per_sample_pooling</t>
  </si>
  <si>
    <t xml:space="preserve">Cells taken per sample for pooling (CITE-seq staining input)</t>
  </si>
  <si>
    <t xml:space="preserve">Fixed amount added from each sample into its genetic pool, regardless of how many cells the sample had.</t>
  </si>
  <si>
    <t xml:space="preserve">cells_per_sample_bulk</t>
  </si>
  <si>
    <t xml:space="preserve">Cells reserved per sample for bulk RNA-seq</t>
  </si>
  <si>
    <t xml:space="preserve">Set aside per sample (Trizol) for bulk RNA-seq. Required when pooling, for SNP demux.</t>
  </si>
  <si>
    <t xml:space="preserve">cells_per_sample_bulk_low</t>
  </si>
  <si>
    <t xml:space="preserve">Minimum bulk reserve for low-count samples</t>
  </si>
  <si>
    <t xml:space="preserve">Floor for samples that don’t have enough to spare the full bulk reserve.</t>
  </si>
  <si>
    <t xml:space="preserve">cells_per_sample_stim</t>
  </si>
  <si>
    <t xml:space="preserve">Extra cells reserved per sample for stim</t>
  </si>
  <si>
    <t xml:space="preserve">Saved per sample for the stim track.</t>
  </si>
  <si>
    <t xml:space="preserve">cells_per_pool_load</t>
  </si>
  <si>
    <t xml:space="preserve">Cells taken from each genetic pool per non-sort droplet load</t>
  </si>
  <si>
    <t xml:space="preserve">cells/pool</t>
  </si>
  <si>
    <t xml:space="preserve">1.2M/pool for unsort &amp; ASAP; each per-pool tube HTO-stained (TotalSeq-C for CITE, TotalSeq-A for ASAP). Sort takes the remainder.</t>
  </si>
  <si>
    <t xml:space="preserve">cells_for_panel_stain</t>
  </si>
  <si>
    <t xml:space="preserve">Cells subsampled from the combined pool for surface-panel staining</t>
  </si>
  <si>
    <t xml:space="preserve">cells/load</t>
  </si>
  <si>
    <t xml:space="preserve">After per-pool tubes combine, 1.5M taken for lyo-panel staining (3 vials).</t>
  </si>
  <si>
    <t xml:space="preserve">cells_at_load</t>
  </si>
  <si>
    <t xml:space="preserve">Target cells at loading / transposition</t>
  </si>
  <si>
    <t xml:space="preserve">Super-load target after panel-stain washes (~1.1–1.2M).</t>
  </si>
  <si>
    <t xml:space="preserve">allcells_control_fraction</t>
  </si>
  <si>
    <t xml:space="preserve">ALLCELLS control added per pool (fraction of pooled cells)</t>
  </si>
  <si>
    <t xml:space="preserve">fraction</t>
  </si>
  <si>
    <t xml:space="preserve">Leukopak ALLCELLS spike-in per pool (~25%). Set 0 to exclude.</t>
  </si>
  <si>
    <t xml:space="preserve">Section</t>
  </si>
  <si>
    <t xml:space="preserve">Type</t>
  </si>
  <si>
    <t xml:space="preserve">Item / supply</t>
  </si>
  <si>
    <t xml:space="preserve">Item ID</t>
  </si>
  <si>
    <t xml:space="preserve">Scaling basis</t>
  </si>
  <si>
    <t xml:space="preserve">Amount per unit</t>
  </si>
  <si>
    <t xml:space="preserve">Unit</t>
  </si>
  <si>
    <t xml:space="preserve">Overage</t>
  </si>
  <si>
    <t xml:space="preserve">Count (x)</t>
  </si>
  <si>
    <t xml:space="preserve">Total needed</t>
  </si>
  <si>
    <t xml:space="preserve">Order (rounded)</t>
  </si>
  <si>
    <t xml:space="preserve">Unit price ($)</t>
  </si>
  <si>
    <t xml:space="preserve">Cost per basis-unit ($)</t>
  </si>
  <si>
    <t xml:space="preserve">Notes</t>
  </si>
  <si>
    <t xml:space="preserve">_price</t>
  </si>
  <si>
    <t xml:space="preserve">_stock</t>
  </si>
  <si>
    <t xml:space="preserve">_stockUnit</t>
  </si>
  <si>
    <t xml:space="preserve">II. PBMC prep</t>
  </si>
  <si>
    <t xml:space="preserve">BUFFER ▸ prepare</t>
  </si>
  <si>
    <t xml:space="preserve">RPMI-DNase (thaw media)</t>
  </si>
  <si>
    <t xml:space="preserve">(prep total)</t>
  </si>
  <si>
    <t xml:space="preserve">Standard-recipe volume to prepare; costed components are the item rows below (see Buffer recipes).</t>
  </si>
  <si>
    <t xml:space="preserve">RPMI-DNase-low</t>
  </si>
  <si>
    <t xml:space="preserve">Item</t>
  </si>
  <si>
    <t xml:space="preserve">15mL conical</t>
  </si>
  <si>
    <t xml:space="preserve">[no catalog price]</t>
  </si>
  <si>
    <t xml:space="preserve">Nexcelom counting plate (24 samples/plate)</t>
  </si>
  <si>
    <t xml:space="preserve">Thawsome</t>
  </si>
  <si>
    <t xml:space="preserve">RPMI (mL)</t>
  </si>
  <si>
    <t xml:space="preserve">RPMI base for both media: thaw (J2) + low (J3). 1 mL RPMI per mL media.</t>
  </si>
  <si>
    <t xml:space="preserve">Dnase</t>
  </si>
  <si>
    <t xml:space="preserve">DNase from RPMI-DNase media: thaw 0.1 mg/mL + low 0.025 mg/mL (10 mg/mL stock at recipe dilution).</t>
  </si>
  <si>
    <t xml:space="preserve">50mL conical</t>
  </si>
  <si>
    <t xml:space="preserve">ALLCELLS control aliquot</t>
  </si>
  <si>
    <t xml:space="preserve">aliquot</t>
  </si>
  <si>
    <t xml:space="preserve">ADDED (was missing): one control per pool. [no catalog price]</t>
  </si>
  <si>
    <t xml:space="preserve">III. Unsort CITE-seq stain</t>
  </si>
  <si>
    <t xml:space="preserve">Staining buffer (PBS+2% BSA)</t>
  </si>
  <si>
    <t xml:space="preserve">2mL eppendorf</t>
  </si>
  <si>
    <t xml:space="preserve">5mL FACS tube</t>
  </si>
  <si>
    <t xml:space="preserve">TotalseqC HTO</t>
  </si>
  <si>
    <t xml:space="preserve">Fc Block</t>
  </si>
  <si>
    <t xml:space="preserve">BSA now tracked as grams of powder (2% w/v staining buffer = 0.02 g/mL). Enter powder $/g in Additional_Supply_Catalog R026. 0.28 g = 2% x 14 mL PBS.</t>
  </si>
  <si>
    <t xml:space="preserve">1X PBS</t>
  </si>
  <si>
    <t xml:space="preserve">TotalseqC Antibody Cocktail</t>
  </si>
  <si>
    <t xml:space="preserve">BSA now tracked as grams of powder (2% w/v staining buffer = 0.02 g/mL). Enter powder $/g in Additional_Supply_Catalog R026. 0.18 g = 2% x 9 mL PBS.</t>
  </si>
  <si>
    <t xml:space="preserve">IV. ASAP-seq</t>
  </si>
  <si>
    <t xml:space="preserve">ASAP lysis buffer (OMNI)</t>
  </si>
  <si>
    <t xml:space="preserve">ASAP wash buffer</t>
  </si>
  <si>
    <t xml:space="preserve">1X nuclei buffer</t>
  </si>
  <si>
    <t xml:space="preserve">TotalseqA HTO</t>
  </si>
  <si>
    <t xml:space="preserve">BSA (powder): ASAP HTO staining = CITE staining (0.28 g = 2% x 14 mL). Same wash procedure as unsort.</t>
  </si>
  <si>
    <t xml:space="preserve">ASAP HTO staining PBS = CITE staining (14 mL/pool). Same 3x pre + 3x post + resuspend washes as unsort. [ADAPTED to SOP: 19 mL/pool/modality (was 14).]</t>
  </si>
  <si>
    <t xml:space="preserve">16% Formaldehyde</t>
  </si>
  <si>
    <t xml:space="preserve">1M Tris-HCl (pH 7.5)</t>
  </si>
  <si>
    <t xml:space="preserve">10% NP40/IPEGAL</t>
  </si>
  <si>
    <t xml:space="preserve">OL003</t>
  </si>
  <si>
    <t xml:space="preserve">TotalseqA Antibody Cocktail</t>
  </si>
  <si>
    <t xml:space="preserve">BSA (powder): ASAP lyo-panel staining = CITE super-pool staining (0.18 g = 2% x 9 mL).</t>
  </si>
  <si>
    <t xml:space="preserve">PCR strip  tubes (strip)</t>
  </si>
  <si>
    <t xml:space="preserve">V. Sort stain</t>
  </si>
  <si>
    <t xml:space="preserve">FACS buffer (PBS+50% FBS)</t>
  </si>
  <si>
    <t xml:space="preserve">L/D Zombie Red (diluted stain)</t>
  </si>
  <si>
    <t xml:space="preserve">CORRECTED 200-&gt;61.5: source adds 61.5 uL Ab cocktail + 5 uL HTO to 200 uL total tube vol; only 61.5 uL is antibody. MADI/AJ sort protocol.</t>
  </si>
  <si>
    <t xml:space="preserve">CORRECTED 20-&gt;10: source (AJ sort protocol) adds 10 uL Fc block per sort tube.</t>
  </si>
  <si>
    <t xml:space="preserve">CORRECTED 65-&gt;6: source uses 2x 2 mL 1X PBS washes/pool (~4 mL) + margin; 65 was implausible. Verify intended wash volume.</t>
  </si>
  <si>
    <t xml:space="preserve">ADDED (was missing): 250 uL diluted viability stain per sort pool. [no catalog price]</t>
  </si>
  <si>
    <t xml:space="preserve">L/D Zombie Red stock</t>
  </si>
  <si>
    <t xml:space="preserve">ADDED: 0.25 uL stock per pool (1:1000). [no catalog price]</t>
  </si>
  <si>
    <t xml:space="preserve">ADDED (was missing): single-stain comp for the sorter. [no catalog price]</t>
  </si>
  <si>
    <t xml:space="preserve">Unstained control (leukopak)</t>
  </si>
  <si>
    <t xml:space="preserve">ADDED (was missing). [no catalog price]</t>
  </si>
  <si>
    <t xml:space="preserve">Sort collection tube (population)</t>
  </si>
  <si>
    <t xml:space="preserve">ADDED (was missing): HSC/pDC/cDC/Treg. [no catalog price]</t>
  </si>
  <si>
    <t xml:space="preserve">FACS tube filter cap</t>
  </si>
  <si>
    <t xml:space="preserve">ADDED (was missing): filter before sort. [no catalog price]</t>
  </si>
  <si>
    <t xml:space="preserve">VI. Bulk RNA (Trizol)</t>
  </si>
  <si>
    <t xml:space="preserve">1.5mL eppendorf</t>
  </si>
  <si>
    <t xml:space="preserve">TRIzol</t>
  </si>
  <si>
    <t xml:space="preserve">VII. Flex v2 (fixation → GEM load)</t>
  </si>
  <si>
    <t xml:space="preserve">Fixation Buffer B</t>
  </si>
  <si>
    <t xml:space="preserve">Per-sample recipe (CG000782): NF water 435 + Conc. Fix &amp; Perm Buffer B (PN-2001301) 55 + 37% formaldehyde 60 uL = 550 uL/sample. Components in Sample Prep v2 Kit; formaldehyde third-party.</t>
  </si>
  <si>
    <t xml:space="preserve">Quenching Buffer B</t>
  </si>
  <si>
    <t xml:space="preserve">Per-sample recipe (CG000782): NF water 938 + Conc. Quench Buffer B (PN-2001300) 134 uL = ~1072 uL/sample (+0.5 mL/sample if storing).</t>
  </si>
  <si>
    <t xml:space="preserve">Probe Hyb Mix</t>
  </si>
  <si>
    <t xml:space="preserve">Per-sample (CG000834 Step 1): Hyb Buffer B 38.5 + Enhancer 5.5 + Additive A 2.75 + WTA Probes v2 8.25 = 55 uL/sample. Components in Core Reagents.</t>
  </si>
  <si>
    <t xml:space="preserve">Post-Hyb Wash Buffer B</t>
  </si>
  <si>
    <t xml:space="preserve">Per-sample tube (CG000834 Step 3): NF water 445 + Enhancer 25 + Conc. Post-Hyb Buffer B 25 uL = 495 uL. Used at post-hyb pooled wash.</t>
  </si>
  <si>
    <t xml:space="preserve">GEM Master Mix</t>
  </si>
  <si>
    <t xml:space="preserve">Per GEM reaction (CG000834 Step 4.1): GEM Reagent Mix 19.9 + Reducing Agent B 1.6 + GEM Enzyme Mix B 11.8 = 33.3 uL. Components in GEM &amp; Library Kit / Core Reagents.</t>
  </si>
  <si>
    <t xml:space="preserve">KIT (PN-1000781). Fix/Perm B, Quench B, Enhancer, Additive C. 48 samples/kit.</t>
  </si>
  <si>
    <t xml:space="preserve">GEM-X Flex v2 Core Reagents</t>
  </si>
  <si>
    <t xml:space="preserve">KIT (PN-1000927, 16 samp). Hyb Buffer B, Additive A, WTA Probes v2, Barcoding Oligo plates, Conc. Post-Hyb Buffer B, GEM/pre-amp/library reagents.</t>
  </si>
  <si>
    <t xml:space="preserve">channels</t>
  </si>
  <si>
    <t xml:space="preserve">KIT (PN-1000791). GEM-X FX Chip (PN-2001257) + Partitioning Oil B. rxn/kit inferred 16 - verify.</t>
  </si>
  <si>
    <t xml:space="preserve">KIT (PN-1000918, 4 rxn) - GEM Reagent Mix, Enzyme Mix B, Amp Mix C, Pre-Amp Primers B. Price unverified -&gt; uncosted; may overlap Core Reagents.</t>
  </si>
  <si>
    <t xml:space="preserve">Formaldehyde 37%</t>
  </si>
  <si>
    <t xml:space="preserve">Fixation Buffer B (CG000782). 37% BP531-25.</t>
  </si>
  <si>
    <t xml:space="preserve">Nuclease-free Water</t>
  </si>
  <si>
    <t xml:space="preserve">Buffers (fixation/quench/hyb/wash). AM9937 recommended.</t>
  </si>
  <si>
    <t xml:space="preserve">Glycerol (for 50% soln)</t>
  </si>
  <si>
    <t xml:space="preserve">50% glycerol for -80C storage / unused chip wells.</t>
  </si>
  <si>
    <t xml:space="preserve">Hybridization / handling.</t>
  </si>
  <si>
    <t xml:space="preserve">Hyb / GEM / PCR (strip shared across steps). 1 PCR tube per reaction; 8 tubes per strip.</t>
  </si>
  <si>
    <t xml:space="preserve">200 uL pipette tips</t>
  </si>
  <si>
    <t xml:space="preserve">Estimate across fixation-&gt;load steps.</t>
  </si>
  <si>
    <t xml:space="preserve">TotalseqC HTO (sort)</t>
  </si>
  <si>
    <t xml:space="preserve">ADDED: source adds 5 uL TotalSeq-C HTO per sort pool (distinct hashtag/pool).</t>
  </si>
  <si>
    <t xml:space="preserve">ADDED: 2 mL staining buffer wash/pool (source line 742) = 0.04 g BSA (2%). PBS for it is in the 6 mL sort PBS row.</t>
  </si>
  <si>
    <t xml:space="preserve">ADDED: lyo-panel staining PBS for ASAP super-pool = CITE super-pool (9 mL). Fixation-wash PBS stays on the 2.45 mL row.</t>
  </si>
  <si>
    <t xml:space="preserve">Post-GEM: 5'-GEM</t>
  </si>
  <si>
    <t xml:space="preserve">KIT</t>
  </si>
  <si>
    <t xml:space="preserve">SUPPLY</t>
  </si>
  <si>
    <t xml:space="preserve">Ethanol</t>
  </si>
  <si>
    <t xml:space="preserve">SPRISelect</t>
  </si>
  <si>
    <t xml:space="preserve">PCR strip  tubes</t>
  </si>
  <si>
    <t xml:space="preserve">(manual) [no catalog price] 1 PCR tube per reaction; 8 tubes per strip.</t>
  </si>
  <si>
    <t xml:space="preserve">1000uL pipette tips</t>
  </si>
  <si>
    <t xml:space="preserve">(manual) [no catalog price]</t>
  </si>
  <si>
    <t xml:space="preserve">200uL pipette tips</t>
  </si>
  <si>
    <t xml:space="preserve">20uL pipette tips</t>
  </si>
  <si>
    <t xml:space="preserve">Eppendorf Tubes</t>
  </si>
  <si>
    <t xml:space="preserve">SUPPLY [no catalog price]</t>
  </si>
  <si>
    <t xml:space="preserve">TapeStation HS D5000 kit (cDNA/amplicon QC)</t>
  </si>
  <si>
    <t xml:space="preserve">Post-GEM: ATAC-GEM</t>
  </si>
  <si>
    <t xml:space="preserve">Post-GEM: 5'-GEX</t>
  </si>
  <si>
    <t xml:space="preserve">Tapestation HS D1000 kit</t>
  </si>
  <si>
    <t xml:space="preserve">library</t>
  </si>
  <si>
    <t xml:space="preserve">Qubit Assay Reagent</t>
  </si>
  <si>
    <t xml:space="preserve">Qubit Assay Tubes</t>
  </si>
  <si>
    <t xml:space="preserve">KAPA Library Quant (qPCR)</t>
  </si>
  <si>
    <t xml:space="preserve">Post-GEM: 5'-VDJ</t>
  </si>
  <si>
    <t xml:space="preserve">Post-GEM: 5'-ADT</t>
  </si>
  <si>
    <t xml:space="preserve">Post-GEM: ATAC-ADT</t>
  </si>
  <si>
    <t xml:space="preserve">2x KAPA HiFi mix (ASAP tag PCR)</t>
  </si>
  <si>
    <t xml:space="preserve">3'-ASAP-P5 primer (10uM)</t>
  </si>
  <si>
    <t xml:space="preserve">RPxx / D7xx index primer (10uM)</t>
  </si>
  <si>
    <t xml:space="preserve">Post-GEM: ATAC</t>
  </si>
  <si>
    <t xml:space="preserve">Post-GEM: Flex v2</t>
  </si>
  <si>
    <t xml:space="preserve">Pre-Amplification Mix</t>
  </si>
  <si>
    <t xml:space="preserve">Per GEM reaction (CG000834 Step 5.2): Amp Mix C 25 + Pre-Amp Primers B 10 = 35 uL. Components in GEM &amp; Library Kit.</t>
  </si>
  <si>
    <t xml:space="preserve">Sample Index PCR Mix</t>
  </si>
  <si>
    <t xml:space="preserve">Per library (CG000834 Step 6.1, &lt;=320k cells): Amp Mix C 50 + NF water 10 = 60 uL. + 20 uL Dual Index TS.</t>
  </si>
  <si>
    <t xml:space="preserve">Dual Index Plate TS, Set A</t>
  </si>
  <si>
    <t xml:space="preserve">KIT (PN-1000251 / plate PN-3000511). One unique index well per library. 96 rxn/kit.</t>
  </si>
  <si>
    <t xml:space="preserve">Pre-amp cleanup + post-SI-PCR size selection (SI-PCR 1.0X = 100 uL/library).</t>
  </si>
  <si>
    <t xml:space="preserve">Elution (pre-amp cleanup + SI-PCR 41 uL).</t>
  </si>
  <si>
    <t xml:space="preserve">80% ethanol washes (pre-amp + SI-PCR, 2x200 uL each).</t>
  </si>
  <si>
    <t xml:space="preserve">Post-library QC.</t>
  </si>
  <si>
    <t xml:space="preserve">TapeStation HS D1000</t>
  </si>
  <si>
    <t xml:space="preserve">Post-library QC trace.</t>
  </si>
  <si>
    <t xml:space="preserve">Pre-amp / SI-PCR / library. 1 PCR tube per reaction; 8 tubes per strip.</t>
  </si>
  <si>
    <t xml:space="preserve">Total qty</t>
  </si>
  <si>
    <t xml:space="preserve">200 uL tips</t>
  </si>
  <si>
    <t xml:space="preserve">Nexcelom counting plate (lane)</t>
  </si>
  <si>
    <t xml:space="preserve">lane</t>
  </si>
  <si>
    <t xml:space="preserve">BSA (10% or mass)</t>
  </si>
  <si>
    <t xml:space="preserve">mL (10% stock)</t>
  </si>
  <si>
    <t xml:space="preserve">BSA (check 10% or mass)</t>
  </si>
  <si>
    <t xml:space="preserve">10x Nuclei Buffer</t>
  </si>
  <si>
    <t xml:space="preserve">GRAND TOTAL (all consumables)</t>
  </si>
  <si>
    <t xml:space="preserve">Buffer recipes (reference)</t>
  </si>
  <si>
    <t xml:space="preserve">Fixed recipes. Scaled per-run component amounts are itemized on the consumables sheets.</t>
  </si>
  <si>
    <t xml:space="preserve">(volume in mL)</t>
  </si>
  <si>
    <t xml:space="preserve">Component</t>
  </si>
  <si>
    <t xml:space="preserve">Amount per 1 mL</t>
  </si>
  <si>
    <t xml:space="preserve">RPMI 1640</t>
  </si>
  <si>
    <t xml:space="preserve">DNase I stock (10 mg/mL)</t>
  </si>
  <si>
    <t xml:space="preserve">(volume in uL)</t>
  </si>
  <si>
    <t xml:space="preserve">Amount per 1 uL</t>
  </si>
  <si>
    <t xml:space="preserve">10% NP40</t>
  </si>
  <si>
    <t xml:space="preserve">10% Tween-20</t>
  </si>
  <si>
    <t xml:space="preserve">10% BSA</t>
  </si>
  <si>
    <t xml:space="preserve">Nuclease-free H2O</t>
  </si>
  <si>
    <t xml:space="preserve">20x Nuclei Buffer (10x)</t>
  </si>
  <si>
    <t xml:space="preserve">Unit conversions</t>
  </si>
  <si>
    <t xml:space="preserve">Used by the consumables tabs to convert a catalog Stock Unit to the amount's Unit. Factor = amount in the base unit of that dimension (volume base = uL, mass base = mg, count/kit base = 1). Conversion only happens within the same dimension.</t>
  </si>
  <si>
    <t xml:space="preserve">Factor (to base)</t>
  </si>
  <si>
    <t xml:space="preserve">Dimension</t>
  </si>
  <si>
    <t xml:space="preserve">vol</t>
  </si>
  <si>
    <t xml:space="preserve">L</t>
  </si>
  <si>
    <t xml:space="preserve">mass</t>
  </si>
  <si>
    <t xml:space="preserve">ug</t>
  </si>
  <si>
    <t xml:space="preserve">count</t>
  </si>
  <si>
    <t xml:space="preserve">channel</t>
  </si>
  <si>
    <t xml:space="preserve">bottle</t>
  </si>
  <si>
    <t xml:space="preserve">strainer</t>
  </si>
  <si>
    <t xml:space="preserve">rxn</t>
  </si>
  <si>
    <t xml:space="preserve">lane-rxn</t>
  </si>
  <si>
    <t xml:space="preserve">Oligo_Catalog</t>
  </si>
  <si>
    <t xml:space="preserve">Admin-only. Sequencing/index oligos (e.g. RPIxx, D7xx). Fill in vendor/catalog#/price. IDs are placeholders (OL###).</t>
  </si>
  <si>
    <t xml:space="preserve">OL001</t>
  </si>
  <si>
    <t xml:space="preserve">OL002</t>
  </si>
  <si>
    <t xml:space="preserve">OL004</t>
  </si>
  <si>
    <t xml:space="preserve">OL005</t>
  </si>
  <si>
    <t xml:space="preserve">OL006</t>
  </si>
  <si>
    <t xml:space="preserve">OL007</t>
  </si>
  <si>
    <t xml:space="preserve">OL008</t>
  </si>
  <si>
    <t xml:space="preserve">OL009</t>
  </si>
  <si>
    <t xml:space="preserve">OL010</t>
  </si>
  <si>
    <t xml:space="preserve">OL011</t>
  </si>
  <si>
    <t xml:space="preserve">OL012</t>
  </si>
  <si>
    <t xml:space="preserve">OL013</t>
  </si>
  <si>
    <t xml:space="preserve">OL014</t>
  </si>
  <si>
    <t xml:space="preserve">OL015</t>
  </si>
  <si>
    <t xml:space="preserve">OL016</t>
  </si>
  <si>
    <t xml:space="preserve">OL017</t>
  </si>
  <si>
    <t xml:space="preserve">OL018</t>
  </si>
  <si>
    <t xml:space="preserve">OL019</t>
  </si>
  <si>
    <t xml:space="preserve">OL020</t>
  </si>
  <si>
    <t xml:space="preserve">OL021</t>
  </si>
  <si>
    <t xml:space="preserve">OL022</t>
  </si>
  <si>
    <t xml:space="preserve">OL023</t>
  </si>
  <si>
    <t xml:space="preserve">OL024</t>
  </si>
  <si>
    <t xml:space="preserve">OL025</t>
  </si>
  <si>
    <t xml:space="preserve">OL026</t>
  </si>
  <si>
    <t xml:space="preserve">OL027</t>
  </si>
  <si>
    <t xml:space="preserve">OL028</t>
  </si>
  <si>
    <t xml:space="preserve">OL029</t>
  </si>
  <si>
    <t xml:space="preserve">OL030</t>
  </si>
  <si>
    <t xml:space="preserve">Antibody_Catalog</t>
  </si>
  <si>
    <t xml:space="preserve">Admin-only. Flow antibodies, HTOs, and TotalSeq staining cocktails. Fill in vendor/catalog#/price. IDs are placeholders (AB###).</t>
  </si>
  <si>
    <t xml:space="preserve">AB001</t>
  </si>
  <si>
    <t xml:space="preserve">AB002</t>
  </si>
  <si>
    <t xml:space="preserve">AB003</t>
  </si>
  <si>
    <t xml:space="preserve">AB004</t>
  </si>
  <si>
    <t xml:space="preserve">AB005</t>
  </si>
  <si>
    <t xml:space="preserve">AB006</t>
  </si>
  <si>
    <t xml:space="preserve">AB007</t>
  </si>
  <si>
    <t xml:space="preserve">AB008</t>
  </si>
  <si>
    <t xml:space="preserve">AB009</t>
  </si>
  <si>
    <t xml:space="preserve">AB010</t>
  </si>
  <si>
    <t xml:space="preserve">AB011</t>
  </si>
  <si>
    <t xml:space="preserve">AB012</t>
  </si>
  <si>
    <t xml:space="preserve">AB013</t>
  </si>
  <si>
    <t xml:space="preserve">AB014</t>
  </si>
  <si>
    <t xml:space="preserve">AB015</t>
  </si>
  <si>
    <t xml:space="preserve">AB016</t>
  </si>
  <si>
    <t xml:space="preserve">AB017</t>
  </si>
  <si>
    <t xml:space="preserve">AB018</t>
  </si>
  <si>
    <t xml:space="preserve">AB019</t>
  </si>
  <si>
    <t xml:space="preserve">AB020</t>
  </si>
  <si>
    <t xml:space="preserve">AB021</t>
  </si>
  <si>
    <t xml:space="preserve">AB022</t>
  </si>
  <si>
    <t xml:space="preserve">AB023</t>
  </si>
  <si>
    <t xml:space="preserve">AB024</t>
  </si>
  <si>
    <t xml:space="preserve">AB025</t>
  </si>
  <si>
    <t xml:space="preserve">AB026</t>
  </si>
  <si>
    <t xml:space="preserve">AB027</t>
  </si>
  <si>
    <t xml:space="preserve">AB028</t>
  </si>
  <si>
    <t xml:space="preserve">AB029</t>
  </si>
  <si>
    <t xml:space="preserve">AB030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</si>
</sst>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.00"/>
    <numFmt numFmtId="166" formatCode="0%"/>
    <numFmt numFmtId="167" formatCode="\$#,##0.00_);[RED]&quot;($&quot;#,##0.00\)"/>
    <numFmt numFmtId="168" formatCode="#,##0"/>
    <numFmt numFmtId="169" formatCode="\$#,##0_);[RED]&quot;($&quot;#,##0\)"/>
    <numFmt numFmtId="170" formatCode="0.00%"/>
    <numFmt numFmtId="171" formatCode="0.00E+00"/>
    <numFmt numFmtId="172" formatCode="0.####"/>
    <numFmt numFmtId="173" formatCode="0.00"/>
    <numFmt numFmtId="174" formatCode="General"/>
    <numFmt numFmtId="175" formatCode="\$#,##0.00####"/>
    <numFmt numFmtId="176" formatCode="0.#####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6"/>
      <color rgb="FF0F6E56"/>
      <name val="Cambria"/>
      <family val="1"/>
      <charset val="1"/>
    </font>
    <font>
      <i val="true"/>
      <sz val="10"/>
      <color rgb="FF6B6B6B"/>
      <name val="Cambria"/>
      <family val="1"/>
      <charset val="1"/>
    </font>
    <font>
      <b val="true"/>
      <sz val="11"/>
      <color rgb="FFFFFFFF"/>
      <name val="Cambria"/>
      <family val="1"/>
      <charset val="1"/>
    </font>
    <font>
      <b val="true"/>
      <sz val="11"/>
      <color rgb="FF1D4E89"/>
      <name val="Cambria"/>
      <family val="1"/>
      <charset val="1"/>
    </font>
    <font>
      <b val="true"/>
      <sz val="16"/>
      <name val="Arial"/>
      <family val="2"/>
      <charset val="1"/>
    </font>
    <font>
      <i val="true"/>
      <sz val="9"/>
      <color rgb="FF666666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1"/>
      <color rgb="FF2E4A6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name val="Arial"/>
      <family val="2"/>
      <charset val="1"/>
    </font>
    <font>
      <sz val="11"/>
      <color theme="1"/>
      <name val="Arial"/>
      <family val="2"/>
      <charset val="1"/>
    </font>
    <font>
      <sz val="8"/>
      <color rgb="FF000000"/>
      <name val="Arial"/>
      <family val="2"/>
      <charset val="1"/>
    </font>
    <font>
      <sz val="7"/>
      <color theme="1"/>
      <name val="Arial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  <charset val="1"/>
    </font>
    <font>
      <sz val="12"/>
      <name val="Microsoft Sans Serif"/>
      <family val="2"/>
      <charset val="1"/>
    </font>
    <font>
      <sz val="12"/>
      <color rgb="FFFF0000"/>
      <name val="Arial"/>
      <family val="2"/>
      <charset val="1"/>
    </font>
    <font>
      <sz val="12"/>
      <color rgb="FFFF0000"/>
      <name val="Microsoft Sans Serif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b val="true"/>
      <sz val="13"/>
      <name val="Arial"/>
      <family val="2"/>
      <charset val="1"/>
    </font>
    <font>
      <i val="true"/>
      <sz val="10"/>
      <color rgb="FF1A1A1A"/>
      <name val="Cambria"/>
      <family val="1"/>
      <charset val="1"/>
    </font>
    <font>
      <b val="true"/>
      <i val="true"/>
      <sz val="10"/>
      <color rgb="FF1A1A1A"/>
      <name val="Cambria"/>
      <family val="1"/>
      <charset val="1"/>
    </font>
    <font>
      <b val="true"/>
      <i val="true"/>
      <sz val="10"/>
      <color rgb="FF1D4E89"/>
      <name val="Cambria"/>
      <family val="1"/>
      <charset val="1"/>
    </font>
    <font>
      <i val="true"/>
      <sz val="9"/>
      <color rgb="FF6B6B6B"/>
      <name val="Cambria"/>
      <family val="1"/>
      <charset val="1"/>
    </font>
    <font>
      <sz val="10"/>
      <color rgb="FF1A1A1A"/>
      <name val="Cambria"/>
      <family val="1"/>
      <charset val="1"/>
    </font>
    <font>
      <b val="true"/>
      <sz val="10"/>
      <color rgb="FF1A1A1A"/>
      <name val="Cambria"/>
      <family val="1"/>
      <charset val="1"/>
    </font>
    <font>
      <b val="true"/>
      <sz val="10"/>
      <color rgb="FF0F6E56"/>
      <name val="Cambria"/>
      <family val="1"/>
      <charset val="1"/>
    </font>
    <font>
      <sz val="9"/>
      <color rgb="FF6B6B6B"/>
      <name val="Cambria"/>
      <family val="1"/>
      <charset val="1"/>
    </font>
    <font>
      <sz val="10"/>
      <color rgb="FFFF0000"/>
      <name val="Cambria"/>
      <family val="1"/>
      <charset val="1"/>
    </font>
    <font>
      <b val="true"/>
      <sz val="10"/>
      <name val="Cambria"/>
      <family val="1"/>
      <charset val="1"/>
    </font>
    <font>
      <b val="true"/>
      <sz val="11"/>
      <color rgb="FF0F6E56"/>
      <name val="Cambria"/>
      <family val="1"/>
      <charset val="1"/>
    </font>
    <font>
      <b val="true"/>
      <sz val="12"/>
      <color rgb="FF1A1A1A"/>
      <name val="Cambria"/>
      <family val="1"/>
      <charset val="1"/>
    </font>
    <font>
      <b val="true"/>
      <sz val="10"/>
      <color rgb="FFFFFFFF"/>
      <name val="Cambria"/>
      <family val="1"/>
      <charset val="1"/>
    </font>
    <font>
      <b val="true"/>
      <sz val="12"/>
      <color rgb="FF2E4A62"/>
      <name val="Cambria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BF3DE"/>
        <bgColor rgb="FFFDF6E3"/>
      </patternFill>
    </fill>
    <fill>
      <patternFill patternType="solid">
        <fgColor rgb="FF1F2937"/>
        <bgColor rgb="FF1A1A1A"/>
      </patternFill>
    </fill>
    <fill>
      <patternFill patternType="solid">
        <fgColor rgb="FF2E4A62"/>
        <bgColor rgb="FF1D4E89"/>
      </patternFill>
    </fill>
    <fill>
      <patternFill patternType="solid">
        <fgColor theme="9" tint="0.7998"/>
        <bgColor rgb="FFFCE4E1"/>
      </patternFill>
    </fill>
    <fill>
      <patternFill patternType="solid">
        <fgColor theme="0" tint="-0.25"/>
        <bgColor rgb="FFD5D5CE"/>
      </patternFill>
    </fill>
    <fill>
      <patternFill patternType="solid">
        <fgColor rgb="FFE2EFDA"/>
        <bgColor rgb="FFE1F0EA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FBF3DE"/>
      </patternFill>
    </fill>
    <fill>
      <patternFill patternType="solid">
        <fgColor rgb="FFEAF1FB"/>
        <bgColor rgb="FFE1F0EA"/>
      </patternFill>
    </fill>
    <fill>
      <patternFill patternType="solid">
        <fgColor rgb="FFF5F4EF"/>
        <bgColor rgb="FFFDF6E3"/>
      </patternFill>
    </fill>
    <fill>
      <patternFill patternType="solid">
        <fgColor rgb="FFFDF6E3"/>
        <bgColor rgb="FFFBF3DE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D5D5CE"/>
      </left>
      <right style="thin">
        <color rgb="FFD5D5CE"/>
      </right>
      <top style="thin">
        <color rgb="FFD5D5CE"/>
      </top>
      <bottom style="thin">
        <color rgb="FFD5D5CE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/>
      <bottom/>
      <diagonal/>
    </border>
    <border diagonalUp="false" diagonalDown="false">
      <left/>
      <right style="thin">
        <color rgb="FFD9D9D9"/>
      </right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2" fillId="7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2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2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9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1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24" fillId="0" borderId="6" xfId="0" applyFont="true" applyBorder="true" applyAlignment="true" applyProtection="false">
      <alignment horizontal="left" vertical="top" textRotation="0" wrapText="false" indent="0" shrinkToFit="false" readingOrder="1"/>
      <protection locked="true" hidden="false"/>
    </xf>
    <xf numFmtId="171" fontId="24" fillId="0" borderId="6" xfId="0" applyFont="true" applyBorder="true" applyAlignment="true" applyProtection="false">
      <alignment horizontal="left" vertical="top" textRotation="0" wrapText="false" indent="0" shrinkToFit="false" readingOrder="1"/>
      <protection locked="true" hidden="false"/>
    </xf>
    <xf numFmtId="171" fontId="23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0" borderId="6" xfId="0" applyFont="true" applyBorder="true" applyAlignment="true" applyProtection="false">
      <alignment horizontal="left" vertical="top" textRotation="0" wrapText="false" indent="0" shrinkToFit="false" readingOrder="1"/>
      <protection locked="true" hidden="false"/>
    </xf>
    <xf numFmtId="164" fontId="2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6" xfId="0" applyFont="true" applyBorder="true" applyAlignment="true" applyProtection="false">
      <alignment horizontal="left" vertical="top" textRotation="0" wrapText="false" indent="0" shrinkToFit="false" readingOrder="1"/>
      <protection locked="true" hidden="false"/>
    </xf>
    <xf numFmtId="164" fontId="25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4" fillId="0" borderId="8" xfId="0" applyFont="true" applyBorder="true" applyAlignment="true" applyProtection="false">
      <alignment horizontal="left" vertical="top" textRotation="0" wrapText="false" indent="0" shrinkToFit="false" readingOrder="1"/>
      <protection locked="true" hidden="false"/>
    </xf>
    <xf numFmtId="164" fontId="23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0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4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4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4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4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4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5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4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4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6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38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30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3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11">
    <dxf>
      <fill>
        <patternFill patternType="solid">
          <fgColor rgb="FF2E4A62"/>
          <bgColor rgb="FF000000"/>
        </patternFill>
      </fill>
    </dxf>
    <dxf>
      <fill>
        <patternFill patternType="solid">
          <fgColor rgb="FFEAF1FB"/>
          <bgColor rgb="FF000000"/>
        </patternFill>
      </fill>
    </dxf>
    <dxf>
      <fill>
        <patternFill patternType="solid">
          <fgColor rgb="FFF5F4E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1D4E89"/>
          <bgColor rgb="FF000000"/>
        </patternFill>
      </fill>
    </dxf>
    <dxf>
      <fill>
        <patternFill patternType="solid">
          <fgColor rgb="FFFDF6E3"/>
          <bgColor rgb="FF000000"/>
        </patternFill>
      </fill>
    </dxf>
    <dxf>
      <fill>
        <patternFill patternType="solid">
          <fgColor rgb="FF0F6E56"/>
          <bgColor rgb="FF000000"/>
        </patternFill>
      </fill>
    </dxf>
    <dxf>
      <fill>
        <patternFill patternType="solid">
          <fgColor rgb="FF6B6B6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DF6E3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BFBFBF"/>
      <rgbColor rgb="FF666666"/>
      <rgbColor rgb="FF9999FF"/>
      <rgbColor rgb="FF993366"/>
      <rgbColor rgb="FFFFF2CC"/>
      <rgbColor rgb="FFE1F0EA"/>
      <rgbColor rgb="FF660066"/>
      <rgbColor rgb="FFFF8080"/>
      <rgbColor rgb="FF0066CC"/>
      <rgbColor rgb="FFD9D9D9"/>
      <rgbColor rgb="FF000080"/>
      <rgbColor rgb="FFFF00FF"/>
      <rgbColor rgb="FFF5F4EF"/>
      <rgbColor rgb="FF00FFFF"/>
      <rgbColor rgb="FF800080"/>
      <rgbColor rgb="FF800000"/>
      <rgbColor rgb="FF008080"/>
      <rgbColor rgb="FF0000FF"/>
      <rgbColor rgb="FF00CCFF"/>
      <rgbColor rgb="FFEAF1FB"/>
      <rgbColor rgb="FFE2EFDA"/>
      <rgbColor rgb="FFFBF3DE"/>
      <rgbColor rgb="FFD9E1F2"/>
      <rgbColor rgb="FFFCE4E1"/>
      <rgbColor rgb="FFFDEADA"/>
      <rgbColor rgb="FFD5D5CE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2E4A62"/>
      <rgbColor rgb="FF339966"/>
      <rgbColor rgb="FF003300"/>
      <rgbColor rgb="FF1A1A1A"/>
      <rgbColor rgb="FF993300"/>
      <rgbColor rgb="FF993366"/>
      <rgbColor rgb="FF1D4E8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us.vwr.com/store/product/7422471/bovine-serum-albumin-bsa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2"/>
    <col collapsed="false" customWidth="true" hidden="false" outlineLevel="0" max="3" min="3" style="1" width="3"/>
    <col collapsed="false" customWidth="true" hidden="false" outlineLevel="0" max="4" min="4" style="1" width="24"/>
    <col collapsed="false" customWidth="true" hidden="false" outlineLevel="0" max="5" min="5" style="1" width="10"/>
    <col collapsed="false" customWidth="true" hidden="false" outlineLevel="0" max="7" min="7" style="1" width="22"/>
    <col collapsed="false" customWidth="true" hidden="false" outlineLevel="0" max="8" min="8" style="1" width="14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D4" s="4" t="s">
        <v>4</v>
      </c>
      <c r="E4" s="4" t="s">
        <v>5</v>
      </c>
      <c r="G4" s="4" t="s">
        <v>6</v>
      </c>
      <c r="H4" s="4" t="s">
        <v>7</v>
      </c>
    </row>
    <row r="5" customFormat="false" ht="15" hidden="false" customHeight="true" outlineLevel="0" collapsed="false">
      <c r="A5" s="5" t="s">
        <v>8</v>
      </c>
      <c r="B5" s="6" t="n">
        <v>54</v>
      </c>
      <c r="D5" s="5" t="s">
        <v>9</v>
      </c>
      <c r="E5" s="5" t="n">
        <f aca="false">Inputs!$B$5</f>
        <v>54</v>
      </c>
      <c r="G5" s="5" t="s">
        <v>9</v>
      </c>
      <c r="H5" s="7" t="n">
        <f aca="false">SUMIFS(Pre_GEM_Consumables!$N$2:$N$102,Pre_GEM_Consumables!$E$2:$E$102,G5)+SUMIFS(Post_GEM_Consumables!$N$2:$N$97,Post_GEM_Consumables!$E$2:$E$97,G5)</f>
        <v>751.552438593</v>
      </c>
    </row>
    <row r="6" customFormat="false" ht="15" hidden="false" customHeight="true" outlineLevel="0" collapsed="false">
      <c r="A6" s="5" t="s">
        <v>10</v>
      </c>
      <c r="B6" s="6" t="n">
        <v>6</v>
      </c>
      <c r="D6" s="5" t="s">
        <v>11</v>
      </c>
      <c r="E6" s="5" t="n">
        <f aca="false">Inputs!$B$6</f>
        <v>6</v>
      </c>
      <c r="G6" s="5" t="s">
        <v>11</v>
      </c>
      <c r="H6" s="7" t="n">
        <f aca="false">SUMIFS(Pre_GEM_Consumables!$N$2:$N$102,Pre_GEM_Consumables!$E$2:$E$102,G6)+SUMIFS(Post_GEM_Consumables!$N$2:$N$97,Post_GEM_Consumables!$E$2:$E$97,G6)</f>
        <v>819.26207</v>
      </c>
    </row>
    <row r="7" customFormat="false" ht="15" hidden="false" customHeight="true" outlineLevel="0" collapsed="false">
      <c r="A7" s="5" t="s">
        <v>12</v>
      </c>
      <c r="B7" s="6" t="n">
        <v>1</v>
      </c>
      <c r="D7" s="5" t="s">
        <v>13</v>
      </c>
      <c r="E7" s="5" t="n">
        <f aca="false">Inputs!$B$7</f>
        <v>1</v>
      </c>
      <c r="G7" s="5" t="s">
        <v>13</v>
      </c>
      <c r="H7" s="7" t="n">
        <f aca="false">SUMIFS(Pre_GEM_Consumables!$N$2:$N$102,Pre_GEM_Consumables!$E$2:$E$102,G7)+SUMIFS(Post_GEM_Consumables!$N$2:$N$97,Post_GEM_Consumables!$E$2:$E$97,G7)</f>
        <v>6011.448224551</v>
      </c>
    </row>
    <row r="8" customFormat="false" ht="15" hidden="false" customHeight="true" outlineLevel="0" collapsed="false">
      <c r="A8" s="5" t="s">
        <v>14</v>
      </c>
      <c r="B8" s="6" t="n">
        <v>1</v>
      </c>
      <c r="D8" s="5" t="s">
        <v>15</v>
      </c>
      <c r="E8" s="5" t="n">
        <f aca="false">Inputs!$B$8</f>
        <v>1</v>
      </c>
      <c r="G8" s="5" t="s">
        <v>16</v>
      </c>
      <c r="H8" s="7" t="n">
        <f aca="false">SUMIFS(Pre_GEM_Consumables!$N$2:$N$102,Pre_GEM_Consumables!$E$2:$E$102,G8)+SUMIFS(Post_GEM_Consumables!$N$2:$N$97,Post_GEM_Consumables!$E$2:$E$97,G8)</f>
        <v>0</v>
      </c>
    </row>
    <row r="9" customFormat="false" ht="15" hidden="false" customHeight="true" outlineLevel="0" collapsed="false">
      <c r="A9" s="5" t="s">
        <v>17</v>
      </c>
      <c r="B9" s="6" t="n">
        <v>3</v>
      </c>
      <c r="D9" s="5" t="s">
        <v>18</v>
      </c>
      <c r="E9" s="5" t="n">
        <f aca="false">Inputs!$B$9</f>
        <v>3</v>
      </c>
      <c r="G9" s="5" t="s">
        <v>18</v>
      </c>
      <c r="H9" s="7" t="n">
        <f aca="false">SUMIFS(Pre_GEM_Consumables!$N$2:$N$102,Pre_GEM_Consumables!$E$2:$E$102,G9)+SUMIFS(Post_GEM_Consumables!$N$2:$N$97,Post_GEM_Consumables!$E$2:$E$97,G9)</f>
        <v>0</v>
      </c>
    </row>
    <row r="10" customFormat="false" ht="15" hidden="false" customHeight="true" outlineLevel="0" collapsed="false">
      <c r="A10" s="5" t="s">
        <v>19</v>
      </c>
      <c r="B10" s="6" t="n">
        <v>8</v>
      </c>
      <c r="D10" s="5" t="s">
        <v>16</v>
      </c>
      <c r="E10" s="5" t="n">
        <f aca="false">Inputs!$B$10</f>
        <v>8</v>
      </c>
      <c r="G10" s="5" t="s">
        <v>20</v>
      </c>
      <c r="H10" s="7" t="n">
        <f aca="false">SUMIFS(Pre_GEM_Consumables!$N$2:$N$102,Pre_GEM_Consumables!$E$2:$E$102,G10)+SUMIFS(Post_GEM_Consumables!$N$2:$N$97,Post_GEM_Consumables!$E$2:$E$97,G10)</f>
        <v>0</v>
      </c>
    </row>
    <row r="11" customFormat="false" ht="15" hidden="false" customHeight="true" outlineLevel="0" collapsed="false">
      <c r="A11" s="5" t="s">
        <v>21</v>
      </c>
      <c r="B11" s="6" t="n">
        <v>8</v>
      </c>
      <c r="D11" s="5" t="s">
        <v>22</v>
      </c>
      <c r="E11" s="5" t="n">
        <f aca="false">Inputs!$B$11</f>
        <v>8</v>
      </c>
      <c r="G11" s="5" t="s">
        <v>22</v>
      </c>
      <c r="H11" s="7" t="n">
        <f aca="false">SUMIFS(Pre_GEM_Consumables!$N$2:$N$102,Pre_GEM_Consumables!$E$2:$E$102,G11)+SUMIFS(Post_GEM_Consumables!$N$2:$N$97,Post_GEM_Consumables!$E$2:$E$97,G11)</f>
        <v>13743.3683536417</v>
      </c>
    </row>
    <row r="12" customFormat="false" ht="15" hidden="false" customHeight="true" outlineLevel="0" collapsed="false">
      <c r="A12" s="5" t="s">
        <v>23</v>
      </c>
      <c r="B12" s="6" t="n">
        <v>2</v>
      </c>
      <c r="D12" s="5" t="s">
        <v>24</v>
      </c>
      <c r="E12" s="5" t="n">
        <f aca="false">Inputs!$B$12</f>
        <v>2</v>
      </c>
      <c r="G12" s="5" t="s">
        <v>25</v>
      </c>
      <c r="H12" s="7" t="n">
        <f aca="false">SUMIFS(Pre_GEM_Consumables!$N$2:$N$102,Pre_GEM_Consumables!$E$2:$E$102,G12)+SUMIFS(Post_GEM_Consumables!$N$2:$N$97,Post_GEM_Consumables!$E$2:$E$97,G12)</f>
        <v>838.899703253333</v>
      </c>
    </row>
    <row r="13" customFormat="false" ht="15" hidden="false" customHeight="true" outlineLevel="0" collapsed="false">
      <c r="A13" s="5" t="s">
        <v>26</v>
      </c>
      <c r="B13" s="6" t="n">
        <v>8</v>
      </c>
      <c r="D13" s="5" t="s">
        <v>25</v>
      </c>
      <c r="E13" s="5" t="n">
        <f aca="false">Inputs!$B$13</f>
        <v>8</v>
      </c>
      <c r="G13" s="5" t="s">
        <v>27</v>
      </c>
      <c r="H13" s="7" t="n">
        <f aca="false">SUMIFS(Pre_GEM_Consumables!$N$2:$N$102,Pre_GEM_Consumables!$E$2:$E$102,G13)+SUMIFS(Post_GEM_Consumables!$N$2:$N$97,Post_GEM_Consumables!$E$2:$E$97,G13)</f>
        <v>1265.98062682667</v>
      </c>
    </row>
    <row r="14" customFormat="false" ht="15" hidden="false" customHeight="true" outlineLevel="0" collapsed="false">
      <c r="A14" s="5" t="s">
        <v>28</v>
      </c>
      <c r="B14" s="6" t="n">
        <v>8</v>
      </c>
      <c r="D14" s="5" t="s">
        <v>27</v>
      </c>
      <c r="E14" s="5" t="n">
        <f aca="false">Inputs!$B$14</f>
        <v>8</v>
      </c>
      <c r="G14" s="5" t="s">
        <v>29</v>
      </c>
      <c r="H14" s="7" t="n">
        <f aca="false">SUMIFS(Pre_GEM_Consumables!$N$2:$N$102,Pre_GEM_Consumables!$E$2:$E$102,G14)+SUMIFS(Post_GEM_Consumables!$N$2:$N$97,Post_GEM_Consumables!$E$2:$E$97,G14)</f>
        <v>499.342381706667</v>
      </c>
    </row>
    <row r="15" customFormat="false" ht="15" hidden="false" customHeight="true" outlineLevel="0" collapsed="false">
      <c r="A15" s="5" t="s">
        <v>30</v>
      </c>
      <c r="B15" s="6" t="n">
        <v>8</v>
      </c>
      <c r="D15" s="5" t="s">
        <v>29</v>
      </c>
      <c r="E15" s="5" t="n">
        <f aca="false">Inputs!$B$15</f>
        <v>8</v>
      </c>
      <c r="G15" s="5" t="s">
        <v>31</v>
      </c>
      <c r="H15" s="7" t="n">
        <f aca="false">SUMIFS(Pre_GEM_Consumables!$N$2:$N$102,Pre_GEM_Consumables!$E$2:$E$102,G15)+SUMIFS(Post_GEM_Consumables!$N$2:$N$97,Post_GEM_Consumables!$E$2:$E$97,G15)</f>
        <v>3555.59768872</v>
      </c>
    </row>
    <row r="16" customFormat="false" ht="15" hidden="false" customHeight="true" outlineLevel="0" collapsed="false">
      <c r="A16" s="5" t="s">
        <v>32</v>
      </c>
      <c r="B16" s="6" t="n">
        <v>2</v>
      </c>
      <c r="D16" s="5" t="s">
        <v>33</v>
      </c>
      <c r="E16" s="5" t="n">
        <f aca="false">Inputs!$B$16</f>
        <v>2</v>
      </c>
      <c r="G16" s="5" t="s">
        <v>33</v>
      </c>
      <c r="H16" s="7" t="n">
        <f aca="false">SUMIFS(Pre_GEM_Consumables!$N$2:$N$102,Pre_GEM_Consumables!$E$2:$E$102,G16)+SUMIFS(Post_GEM_Consumables!$N$2:$N$97,Post_GEM_Consumables!$E$2:$E$97,G16)</f>
        <v>25.04997924</v>
      </c>
    </row>
    <row r="17" customFormat="false" ht="15" hidden="false" customHeight="true" outlineLevel="0" collapsed="false">
      <c r="A17" s="5" t="s">
        <v>34</v>
      </c>
      <c r="B17" s="6" t="n">
        <v>2</v>
      </c>
      <c r="D17" s="5" t="s">
        <v>31</v>
      </c>
      <c r="E17" s="5" t="n">
        <f aca="false">Inputs!$B$17</f>
        <v>2</v>
      </c>
      <c r="G17" s="5" t="s">
        <v>24</v>
      </c>
      <c r="H17" s="7" t="n">
        <f aca="false">SUMIFS(Pre_GEM_Consumables!$N$2:$N$102,Pre_GEM_Consumables!$E$2:$E$102,G17)+SUMIFS(Post_GEM_Consumables!$N$2:$N$97,Post_GEM_Consumables!$E$2:$E$97,G17)</f>
        <v>3542</v>
      </c>
    </row>
    <row r="18" customFormat="false" ht="15" hidden="false" customHeight="true" outlineLevel="0" collapsed="false">
      <c r="A18" s="5" t="s">
        <v>35</v>
      </c>
      <c r="B18" s="6" t="n">
        <v>1</v>
      </c>
      <c r="D18" s="5" t="s">
        <v>20</v>
      </c>
      <c r="E18" s="5" t="n">
        <f aca="false">Inputs!$B$18</f>
        <v>1</v>
      </c>
      <c r="G18" s="5" t="s">
        <v>36</v>
      </c>
      <c r="H18" s="5" t="n">
        <f aca="false">SUMIFS(Pre_GEM_Consumables!$N$2:$N$102,Pre_GEM_Consumables!$E$2:$E$102,G18)+SUMIFS(Post_GEM_Consumables!$N$2:$N$97,Post_GEM_Consumables!$E$2:$E$97,G18)</f>
        <v>0</v>
      </c>
    </row>
    <row r="19" customFormat="false" ht="15" hidden="false" customHeight="true" outlineLevel="0" collapsed="false">
      <c r="A19" s="5"/>
      <c r="B19" s="5"/>
      <c r="G19" s="5" t="s">
        <v>37</v>
      </c>
      <c r="H19" s="5" t="n">
        <f aca="false">SUMIFS(Pre_GEM_Consumables!$N$2:$N$102,Pre_GEM_Consumables!$E$2:$E$102,G19)+SUMIFS(Post_GEM_Consumables!$N$2:$N$97,Post_GEM_Consumables!$E$2:$E$97,G19)</f>
        <v>0</v>
      </c>
    </row>
    <row r="20" customFormat="false" ht="15" hidden="false" customHeight="true" outlineLevel="0" collapsed="false">
      <c r="A20" s="5" t="s">
        <v>38</v>
      </c>
      <c r="B20" s="8" t="n">
        <v>0.1</v>
      </c>
      <c r="G20" s="5" t="s">
        <v>39</v>
      </c>
      <c r="H20" s="5" t="n">
        <f aca="false">SUMIFS(Pre_GEM_Consumables!$N$2:$N$102,Pre_GEM_Consumables!$E$2:$E$102,G20)+SUMIFS(Post_GEM_Consumables!$N$2:$N$97,Post_GEM_Consumables!$E$2:$E$97,G20)</f>
        <v>0</v>
      </c>
    </row>
    <row r="21" customFormat="false" ht="14.25" hidden="false" customHeight="true" outlineLevel="0" collapsed="false">
      <c r="A21" s="5" t="s">
        <v>40</v>
      </c>
      <c r="B21" s="6" t="n">
        <v>0</v>
      </c>
      <c r="D21" s="5" t="s">
        <v>36</v>
      </c>
      <c r="E21" s="5" t="n">
        <f aca="false">Inputs!$B$21</f>
        <v>0</v>
      </c>
    </row>
    <row r="22" customFormat="false" ht="14.25" hidden="false" customHeight="true" outlineLevel="0" collapsed="false">
      <c r="A22" s="5" t="s">
        <v>41</v>
      </c>
      <c r="B22" s="6" t="n">
        <v>0</v>
      </c>
      <c r="D22" s="5" t="s">
        <v>37</v>
      </c>
      <c r="E22" s="5" t="n">
        <f aca="false">Inputs!$B$22</f>
        <v>0</v>
      </c>
    </row>
    <row r="23" customFormat="false" ht="14.25" hidden="false" customHeight="true" outlineLevel="0" collapsed="false">
      <c r="A23" s="5" t="s">
        <v>42</v>
      </c>
      <c r="B23" s="6" t="n">
        <v>0</v>
      </c>
      <c r="D23" s="5" t="s">
        <v>39</v>
      </c>
      <c r="E23" s="5" t="n">
        <f aca="false">Inputs!$B$23</f>
        <v>0</v>
      </c>
    </row>
    <row r="24" customFormat="false" ht="14.25" hidden="false" customHeight="true" outlineLevel="0" collapsed="false">
      <c r="A24" s="1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937"/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6" min="2" style="1" width="18"/>
  </cols>
  <sheetData>
    <row r="1" customFormat="false" ht="19.5" hidden="false" customHeight="true" outlineLevel="0" collapsed="false">
      <c r="A1" s="9" t="s">
        <v>44</v>
      </c>
    </row>
    <row r="2" customFormat="false" ht="15" hidden="false" customHeight="true" outlineLevel="0" collapsed="false">
      <c r="A2" s="10" t="s">
        <v>45</v>
      </c>
    </row>
    <row r="4" customFormat="false" ht="31.5" hidden="false" customHeight="true" outlineLevel="0" collapsed="false">
      <c r="A4" s="11" t="s">
        <v>46</v>
      </c>
      <c r="B4" s="11" t="s">
        <v>47</v>
      </c>
      <c r="C4" s="11" t="s">
        <v>48</v>
      </c>
      <c r="D4" s="11" t="s">
        <v>49</v>
      </c>
    </row>
    <row r="5" customFormat="false" ht="57" hidden="false" customHeight="true" outlineLevel="0" collapsed="false">
      <c r="A5" s="12" t="s">
        <v>50</v>
      </c>
      <c r="B5" s="12" t="s">
        <v>51</v>
      </c>
      <c r="C5" s="12" t="s">
        <v>52</v>
      </c>
      <c r="D5" s="12" t="s">
        <v>53</v>
      </c>
    </row>
    <row r="6" customFormat="false" ht="68.25" hidden="false" customHeight="true" outlineLevel="0" collapsed="false">
      <c r="A6" s="12" t="s">
        <v>54</v>
      </c>
      <c r="B6" s="12" t="s">
        <v>55</v>
      </c>
      <c r="C6" s="12" t="s">
        <v>56</v>
      </c>
      <c r="D6" s="12" t="s">
        <v>57</v>
      </c>
    </row>
    <row r="7" customFormat="false" ht="45.75" hidden="false" customHeight="true" outlineLevel="0" collapsed="false">
      <c r="A7" s="12" t="s">
        <v>58</v>
      </c>
      <c r="B7" s="12" t="s">
        <v>59</v>
      </c>
      <c r="C7" s="12" t="s">
        <v>60</v>
      </c>
      <c r="D7" s="12" t="s">
        <v>61</v>
      </c>
    </row>
    <row r="10" customFormat="false" ht="15" hidden="false" customHeight="true" outlineLevel="0" collapsed="false">
      <c r="A10" s="13" t="s">
        <v>62</v>
      </c>
    </row>
    <row r="11" customFormat="false" ht="31.5" hidden="false" customHeight="true" outlineLevel="0" collapsed="false">
      <c r="A11" s="11" t="s">
        <v>63</v>
      </c>
      <c r="B11" s="11" t="s">
        <v>64</v>
      </c>
      <c r="C11" s="11" t="s">
        <v>65</v>
      </c>
      <c r="D11" s="11" t="s">
        <v>66</v>
      </c>
    </row>
    <row r="12" customFormat="false" ht="45.75" hidden="false" customHeight="true" outlineLevel="0" collapsed="false">
      <c r="A12" s="12" t="s">
        <v>67</v>
      </c>
      <c r="B12" s="12" t="s">
        <v>68</v>
      </c>
      <c r="C12" s="12" t="s">
        <v>69</v>
      </c>
      <c r="D12" s="12" t="s">
        <v>70</v>
      </c>
    </row>
    <row r="13" customFormat="false" ht="34.5" hidden="false" customHeight="true" outlineLevel="0" collapsed="false">
      <c r="A13" s="12" t="s">
        <v>71</v>
      </c>
      <c r="B13" s="12" t="s">
        <v>72</v>
      </c>
      <c r="C13" s="12" t="s">
        <v>73</v>
      </c>
      <c r="D13" s="12" t="s">
        <v>70</v>
      </c>
    </row>
    <row r="14" customFormat="false" ht="45.75" hidden="false" customHeight="true" outlineLevel="0" collapsed="false">
      <c r="A14" s="12" t="s">
        <v>74</v>
      </c>
      <c r="B14" s="12" t="s">
        <v>75</v>
      </c>
      <c r="C14" s="12" t="s">
        <v>73</v>
      </c>
      <c r="D14" s="12" t="s">
        <v>70</v>
      </c>
    </row>
    <row r="15" customFormat="false" ht="45.75" hidden="false" customHeight="true" outlineLevel="0" collapsed="false">
      <c r="A15" s="12" t="s">
        <v>76</v>
      </c>
      <c r="B15" s="12" t="s">
        <v>77</v>
      </c>
      <c r="C15" s="12" t="s">
        <v>78</v>
      </c>
      <c r="D15" s="12" t="s">
        <v>70</v>
      </c>
    </row>
    <row r="16" customFormat="false" ht="34.5" hidden="false" customHeight="true" outlineLevel="0" collapsed="false">
      <c r="A16" s="12" t="s">
        <v>79</v>
      </c>
      <c r="B16" s="12" t="s">
        <v>80</v>
      </c>
      <c r="C16" s="12" t="s">
        <v>81</v>
      </c>
      <c r="D16" s="12" t="s">
        <v>70</v>
      </c>
    </row>
    <row r="17" customFormat="false" ht="57" hidden="false" customHeight="true" outlineLevel="0" collapsed="false">
      <c r="A17" s="12" t="s">
        <v>82</v>
      </c>
      <c r="B17" s="12" t="s">
        <v>83</v>
      </c>
      <c r="C17" s="12" t="s">
        <v>84</v>
      </c>
      <c r="D17" s="12" t="s">
        <v>70</v>
      </c>
    </row>
    <row r="18" customFormat="false" ht="45.75" hidden="false" customHeight="true" outlineLevel="0" collapsed="false">
      <c r="A18" s="12" t="s">
        <v>85</v>
      </c>
      <c r="B18" s="12" t="s">
        <v>86</v>
      </c>
      <c r="C18" s="12" t="s">
        <v>87</v>
      </c>
      <c r="D18" s="12" t="s">
        <v>70</v>
      </c>
    </row>
    <row r="19" customFormat="false" ht="45.75" hidden="false" customHeight="true" outlineLevel="0" collapsed="false">
      <c r="A19" s="12" t="s">
        <v>88</v>
      </c>
      <c r="B19" s="12" t="s">
        <v>89</v>
      </c>
      <c r="C19" s="12" t="s">
        <v>90</v>
      </c>
      <c r="D19" s="12" t="s">
        <v>70</v>
      </c>
    </row>
    <row r="20" customFormat="false" ht="34.5" hidden="false" customHeight="true" outlineLevel="0" collapsed="false">
      <c r="A20" s="12" t="s">
        <v>91</v>
      </c>
      <c r="B20" s="12" t="s">
        <v>92</v>
      </c>
      <c r="C20" s="12" t="s">
        <v>93</v>
      </c>
      <c r="D20" s="12" t="s">
        <v>94</v>
      </c>
    </row>
    <row r="21" customFormat="false" ht="45.75" hidden="false" customHeight="true" outlineLevel="0" collapsed="false">
      <c r="A21" s="12" t="s">
        <v>95</v>
      </c>
      <c r="B21" s="12" t="s">
        <v>96</v>
      </c>
      <c r="C21" s="12" t="s">
        <v>97</v>
      </c>
      <c r="D21" s="12" t="s">
        <v>98</v>
      </c>
    </row>
    <row r="22" customFormat="false" ht="34.5" hidden="false" customHeight="true" outlineLevel="0" collapsed="false">
      <c r="A22" s="12" t="s">
        <v>99</v>
      </c>
      <c r="B22" s="12" t="s">
        <v>100</v>
      </c>
      <c r="C22" s="12" t="s">
        <v>101</v>
      </c>
      <c r="D22" s="12" t="s">
        <v>94</v>
      </c>
    </row>
    <row r="23" customFormat="false" ht="34.5" hidden="false" customHeight="true" outlineLevel="0" collapsed="false">
      <c r="A23" s="12" t="s">
        <v>102</v>
      </c>
      <c r="B23" s="12" t="s">
        <v>103</v>
      </c>
      <c r="C23" s="12" t="s">
        <v>104</v>
      </c>
      <c r="D23" s="12" t="s">
        <v>94</v>
      </c>
    </row>
    <row r="26" customFormat="false" ht="15" hidden="false" customHeight="true" outlineLevel="0" collapsed="false">
      <c r="A26" s="13" t="s">
        <v>105</v>
      </c>
    </row>
    <row r="27" customFormat="false" ht="30" hidden="false" customHeight="true" outlineLevel="0" collapsed="false">
      <c r="A27" s="14" t="s">
        <v>106</v>
      </c>
      <c r="B27" s="14"/>
      <c r="C27" s="14"/>
      <c r="D27" s="14"/>
      <c r="E27" s="14"/>
      <c r="F27" s="14"/>
    </row>
    <row r="28" customFormat="false" ht="30" hidden="false" customHeight="true" outlineLevel="0" collapsed="false">
      <c r="A28" s="14" t="s">
        <v>107</v>
      </c>
      <c r="B28" s="14"/>
      <c r="C28" s="14"/>
      <c r="D28" s="14"/>
      <c r="E28" s="14"/>
      <c r="F28" s="14"/>
    </row>
    <row r="29" customFormat="false" ht="30" hidden="false" customHeight="true" outlineLevel="0" collapsed="false">
      <c r="A29" s="14" t="s">
        <v>108</v>
      </c>
      <c r="B29" s="14"/>
      <c r="C29" s="14"/>
      <c r="D29" s="14"/>
      <c r="E29" s="14"/>
      <c r="F29" s="14"/>
    </row>
    <row r="30" customFormat="false" ht="30" hidden="false" customHeight="true" outlineLevel="0" collapsed="false">
      <c r="A30" s="14" t="s">
        <v>109</v>
      </c>
      <c r="B30" s="14"/>
      <c r="C30" s="14"/>
      <c r="D30" s="14"/>
      <c r="E30" s="14"/>
      <c r="F30" s="14"/>
    </row>
    <row r="31" customFormat="false" ht="30" hidden="false" customHeight="true" outlineLevel="0" collapsed="false">
      <c r="A31" s="14" t="s">
        <v>110</v>
      </c>
      <c r="B31" s="14"/>
      <c r="C31" s="14"/>
      <c r="D31" s="14"/>
      <c r="E31" s="14"/>
      <c r="F31" s="14"/>
    </row>
    <row r="33" customFormat="false" ht="14.25" hidden="false" customHeight="true" outlineLevel="0" collapsed="false">
      <c r="A33" s="15" t="s">
        <v>111</v>
      </c>
    </row>
    <row r="34" customFormat="false" ht="14.25" hidden="false" customHeight="true" outlineLevel="0" collapsed="false">
      <c r="A34" s="1" t="s">
        <v>112</v>
      </c>
    </row>
    <row r="35" customFormat="false" ht="14.25" hidden="false" customHeight="true" outlineLevel="0" collapsed="false">
      <c r="A35" s="1" t="s">
        <v>113</v>
      </c>
    </row>
    <row r="36" customFormat="false" ht="14.25" hidden="false" customHeight="true" outlineLevel="0" collapsed="false">
      <c r="A36" s="1" t="s">
        <v>114</v>
      </c>
    </row>
  </sheetData>
  <mergeCells count="5">
    <mergeCell ref="A27:F27"/>
    <mergeCell ref="A28:F28"/>
    <mergeCell ref="A29:F29"/>
    <mergeCell ref="A30:F30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CE4E1"/>
    <pageSetUpPr fitToPage="false"/>
  </sheetPr>
  <dimension ref="A1:K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38" activeCellId="0" sqref="D38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42"/>
    <col collapsed="false" customWidth="true" hidden="false" outlineLevel="0" max="5" min="5" style="1" width="16"/>
    <col collapsed="false" customWidth="true" hidden="false" outlineLevel="0" max="8" min="6" style="1" width="10"/>
    <col collapsed="false" customWidth="true" hidden="false" outlineLevel="0" max="9" min="9" style="1" width="16"/>
    <col collapsed="false" customWidth="true" hidden="false" outlineLevel="0" max="10" min="10" style="1" width="32"/>
    <col collapsed="false" customWidth="true" hidden="false" outlineLevel="0" max="11" min="11" style="1" width="45"/>
  </cols>
  <sheetData>
    <row r="1" customFormat="false" ht="15.75" hidden="false" customHeight="true" outlineLevel="0" collapsed="false">
      <c r="A1" s="16" t="s">
        <v>67</v>
      </c>
    </row>
    <row r="2" customFormat="false" ht="15" hidden="false" customHeight="true" outlineLevel="0" collapsed="false">
      <c r="A2" s="10" t="s">
        <v>115</v>
      </c>
    </row>
    <row r="4" customFormat="false" ht="31.5" hidden="false" customHeight="true" outlineLevel="0" collapsed="false">
      <c r="A4" s="11" t="s">
        <v>116</v>
      </c>
      <c r="B4" s="11" t="s">
        <v>117</v>
      </c>
      <c r="C4" s="11" t="s">
        <v>118</v>
      </c>
      <c r="D4" s="11" t="s">
        <v>119</v>
      </c>
      <c r="E4" s="11" t="s">
        <v>120</v>
      </c>
      <c r="F4" s="11" t="s">
        <v>121</v>
      </c>
      <c r="G4" s="11" t="s">
        <v>122</v>
      </c>
      <c r="H4" s="11" t="s">
        <v>123</v>
      </c>
      <c r="I4" s="11" t="s">
        <v>124</v>
      </c>
      <c r="J4" s="11" t="s">
        <v>125</v>
      </c>
      <c r="K4" s="11" t="s">
        <v>126</v>
      </c>
    </row>
    <row r="5" customFormat="false" ht="15" hidden="false" customHeight="true" outlineLevel="0" collapsed="false">
      <c r="A5" s="12" t="s">
        <v>127</v>
      </c>
      <c r="B5" s="12" t="s">
        <v>128</v>
      </c>
      <c r="C5" s="12" t="s">
        <v>129</v>
      </c>
      <c r="D5" s="12" t="s">
        <v>130</v>
      </c>
      <c r="E5" s="12" t="s">
        <v>131</v>
      </c>
      <c r="F5" s="12" t="s">
        <v>132</v>
      </c>
      <c r="G5" s="12" t="n">
        <v>16</v>
      </c>
      <c r="H5" s="12" t="n">
        <v>23670</v>
      </c>
      <c r="I5" s="12" t="s">
        <v>133</v>
      </c>
      <c r="J5" s="12" t="s">
        <v>134</v>
      </c>
      <c r="K5" s="12" t="s">
        <v>135</v>
      </c>
    </row>
    <row r="6" customFormat="false" ht="15" hidden="false" customHeight="true" outlineLevel="0" collapsed="false">
      <c r="A6" s="12" t="s">
        <v>136</v>
      </c>
      <c r="B6" s="12" t="s">
        <v>128</v>
      </c>
      <c r="C6" s="12" t="s">
        <v>129</v>
      </c>
      <c r="D6" s="12" t="s">
        <v>137</v>
      </c>
      <c r="E6" s="12" t="s">
        <v>138</v>
      </c>
      <c r="F6" s="12" t="s">
        <v>139</v>
      </c>
      <c r="G6" s="12" t="n">
        <v>16</v>
      </c>
      <c r="H6" s="12" t="n">
        <v>1250</v>
      </c>
      <c r="I6" s="12" t="s">
        <v>133</v>
      </c>
      <c r="J6" s="12" t="s">
        <v>134</v>
      </c>
      <c r="K6" s="12" t="s">
        <v>140</v>
      </c>
    </row>
    <row r="7" customFormat="false" ht="15" hidden="false" customHeight="true" outlineLevel="0" collapsed="false">
      <c r="A7" s="12" t="s">
        <v>141</v>
      </c>
      <c r="B7" s="12" t="s">
        <v>128</v>
      </c>
      <c r="C7" s="12" t="s">
        <v>142</v>
      </c>
      <c r="D7" s="12" t="s">
        <v>143</v>
      </c>
      <c r="E7" s="12" t="s">
        <v>144</v>
      </c>
      <c r="F7" s="12" t="s">
        <v>132</v>
      </c>
      <c r="G7" s="12" t="n">
        <v>16</v>
      </c>
      <c r="H7" s="12" t="n">
        <v>670</v>
      </c>
      <c r="I7" s="12" t="s">
        <v>145</v>
      </c>
      <c r="J7" s="12" t="s">
        <v>146</v>
      </c>
      <c r="K7" s="12"/>
    </row>
    <row r="8" customFormat="false" ht="23.25" hidden="false" customHeight="true" outlineLevel="0" collapsed="false">
      <c r="A8" s="12" t="s">
        <v>147</v>
      </c>
      <c r="B8" s="12" t="s">
        <v>128</v>
      </c>
      <c r="C8" s="12" t="s">
        <v>148</v>
      </c>
      <c r="D8" s="12" t="s">
        <v>149</v>
      </c>
      <c r="E8" s="12" t="s">
        <v>150</v>
      </c>
      <c r="F8" s="12" t="s">
        <v>151</v>
      </c>
      <c r="G8" s="12" t="n">
        <v>96</v>
      </c>
      <c r="H8" s="12" t="n">
        <v>960</v>
      </c>
      <c r="I8" s="12" t="s">
        <v>145</v>
      </c>
      <c r="J8" s="12" t="s">
        <v>146</v>
      </c>
      <c r="K8" s="12" t="s">
        <v>152</v>
      </c>
    </row>
    <row r="9" customFormat="false" ht="15" hidden="false" customHeight="true" outlineLevel="0" collapsed="false">
      <c r="A9" s="12" t="s">
        <v>153</v>
      </c>
      <c r="B9" s="12" t="s">
        <v>154</v>
      </c>
      <c r="C9" s="12" t="s">
        <v>129</v>
      </c>
      <c r="D9" s="12" t="s">
        <v>155</v>
      </c>
      <c r="E9" s="12" t="s">
        <v>156</v>
      </c>
      <c r="F9" s="12" t="s">
        <v>157</v>
      </c>
      <c r="G9" s="12"/>
      <c r="H9" s="12" t="n">
        <v>600</v>
      </c>
      <c r="I9" s="12" t="s">
        <v>145</v>
      </c>
      <c r="J9" s="12" t="s">
        <v>146</v>
      </c>
      <c r="K9" s="12" t="s">
        <v>158</v>
      </c>
    </row>
    <row r="10" customFormat="false" ht="15" hidden="false" customHeight="true" outlineLevel="0" collapsed="false">
      <c r="A10" s="12" t="s">
        <v>159</v>
      </c>
      <c r="B10" s="12" t="s">
        <v>154</v>
      </c>
      <c r="C10" s="12" t="s">
        <v>129</v>
      </c>
      <c r="D10" s="12" t="s">
        <v>160</v>
      </c>
      <c r="E10" s="12" t="s">
        <v>161</v>
      </c>
      <c r="F10" s="12" t="s">
        <v>162</v>
      </c>
      <c r="G10" s="12"/>
      <c r="H10" s="12" t="n">
        <v>300</v>
      </c>
      <c r="I10" s="12" t="s">
        <v>145</v>
      </c>
      <c r="J10" s="12" t="s">
        <v>146</v>
      </c>
      <c r="K10" s="12"/>
    </row>
    <row r="11" customFormat="false" ht="15" hidden="false" customHeight="true" outlineLevel="0" collapsed="false">
      <c r="A11" s="12" t="s">
        <v>163</v>
      </c>
      <c r="B11" s="12" t="s">
        <v>154</v>
      </c>
      <c r="C11" s="12" t="s">
        <v>129</v>
      </c>
      <c r="D11" s="12" t="s">
        <v>164</v>
      </c>
      <c r="E11" s="12" t="s">
        <v>165</v>
      </c>
      <c r="F11" s="12" t="s">
        <v>166</v>
      </c>
      <c r="G11" s="12" t="n">
        <v>16</v>
      </c>
      <c r="H11" s="12" t="n">
        <v>5994</v>
      </c>
      <c r="I11" s="12" t="s">
        <v>145</v>
      </c>
      <c r="J11" s="12" t="s">
        <v>146</v>
      </c>
      <c r="K11" s="12" t="s">
        <v>167</v>
      </c>
    </row>
    <row r="12" customFormat="false" ht="15" hidden="false" customHeight="true" outlineLevel="0" collapsed="false">
      <c r="A12" s="12" t="s">
        <v>168</v>
      </c>
      <c r="B12" s="12" t="s">
        <v>154</v>
      </c>
      <c r="C12" s="12" t="s">
        <v>129</v>
      </c>
      <c r="D12" s="12" t="s">
        <v>169</v>
      </c>
      <c r="E12" s="12" t="s">
        <v>170</v>
      </c>
      <c r="F12" s="12" t="s">
        <v>171</v>
      </c>
      <c r="G12" s="12" t="n">
        <v>8</v>
      </c>
      <c r="H12" s="12" t="n">
        <v>3994</v>
      </c>
      <c r="I12" s="12" t="s">
        <v>145</v>
      </c>
      <c r="J12" s="12" t="s">
        <v>146</v>
      </c>
      <c r="K12" s="12"/>
    </row>
    <row r="13" s="18" customFormat="true" ht="15" hidden="false" customHeight="true" outlineLevel="0" collapsed="false">
      <c r="A13" s="17" t="s">
        <v>172</v>
      </c>
      <c r="B13" s="17" t="s">
        <v>173</v>
      </c>
      <c r="C13" s="17" t="s">
        <v>129</v>
      </c>
      <c r="D13" s="17" t="s">
        <v>174</v>
      </c>
      <c r="E13" s="17" t="s">
        <v>175</v>
      </c>
      <c r="F13" s="17" t="s">
        <v>132</v>
      </c>
      <c r="G13" s="17" t="n">
        <v>16</v>
      </c>
      <c r="H13" s="17" t="n">
        <v>23670</v>
      </c>
      <c r="I13" s="17" t="s">
        <v>145</v>
      </c>
      <c r="J13" s="17" t="s">
        <v>146</v>
      </c>
      <c r="K13" s="17" t="s">
        <v>176</v>
      </c>
    </row>
    <row r="14" s="18" customFormat="true" ht="15" hidden="false" customHeight="true" outlineLevel="0" collapsed="false">
      <c r="A14" s="17" t="s">
        <v>177</v>
      </c>
      <c r="B14" s="17" t="s">
        <v>173</v>
      </c>
      <c r="C14" s="17" t="s">
        <v>129</v>
      </c>
      <c r="D14" s="17" t="s">
        <v>178</v>
      </c>
      <c r="E14" s="17" t="s">
        <v>179</v>
      </c>
      <c r="F14" s="17" t="s">
        <v>180</v>
      </c>
      <c r="G14" s="17" t="n">
        <v>4</v>
      </c>
      <c r="H14" s="17" t="n">
        <v>6498</v>
      </c>
      <c r="I14" s="17" t="s">
        <v>145</v>
      </c>
      <c r="J14" s="17" t="s">
        <v>146</v>
      </c>
      <c r="K14" s="17" t="s">
        <v>181</v>
      </c>
    </row>
    <row r="15" s="18" customFormat="true" ht="15" hidden="false" customHeight="true" outlineLevel="0" collapsed="false">
      <c r="A15" s="17" t="s">
        <v>182</v>
      </c>
      <c r="B15" s="17" t="s">
        <v>173</v>
      </c>
      <c r="C15" s="17" t="s">
        <v>129</v>
      </c>
      <c r="D15" s="17" t="s">
        <v>183</v>
      </c>
      <c r="E15" s="17" t="s">
        <v>184</v>
      </c>
      <c r="F15" s="17" t="s">
        <v>139</v>
      </c>
      <c r="G15" s="17" t="n">
        <v>16</v>
      </c>
      <c r="H15" s="17" t="n">
        <v>1250</v>
      </c>
      <c r="I15" s="17" t="s">
        <v>145</v>
      </c>
      <c r="J15" s="17" t="s">
        <v>146</v>
      </c>
      <c r="K15" s="17" t="s">
        <v>185</v>
      </c>
    </row>
    <row r="16" s="18" customFormat="true" ht="15" hidden="false" customHeight="true" outlineLevel="0" collapsed="false">
      <c r="A16" s="17" t="s">
        <v>186</v>
      </c>
      <c r="B16" s="17" t="s">
        <v>173</v>
      </c>
      <c r="C16" s="17" t="s">
        <v>187</v>
      </c>
      <c r="D16" s="17" t="s">
        <v>188</v>
      </c>
      <c r="E16" s="17" t="s">
        <v>189</v>
      </c>
      <c r="F16" s="17" t="s">
        <v>132</v>
      </c>
      <c r="G16" s="17" t="n">
        <v>16</v>
      </c>
      <c r="H16" s="17" t="n">
        <v>1250</v>
      </c>
      <c r="I16" s="17" t="s">
        <v>145</v>
      </c>
      <c r="J16" s="17" t="s">
        <v>146</v>
      </c>
      <c r="K16" s="17" t="s">
        <v>190</v>
      </c>
    </row>
    <row r="17" s="18" customFormat="true" ht="15" hidden="false" customHeight="true" outlineLevel="0" collapsed="false">
      <c r="A17" s="17" t="s">
        <v>191</v>
      </c>
      <c r="B17" s="17" t="s">
        <v>173</v>
      </c>
      <c r="C17" s="17" t="s">
        <v>148</v>
      </c>
      <c r="D17" s="17" t="s">
        <v>192</v>
      </c>
      <c r="E17" s="17" t="s">
        <v>193</v>
      </c>
      <c r="F17" s="17" t="s">
        <v>151</v>
      </c>
      <c r="G17" s="17" t="n">
        <v>96</v>
      </c>
      <c r="H17" s="17" t="n">
        <v>960</v>
      </c>
      <c r="I17" s="17" t="s">
        <v>145</v>
      </c>
      <c r="J17" s="17" t="s">
        <v>146</v>
      </c>
      <c r="K17" s="17" t="s">
        <v>194</v>
      </c>
    </row>
    <row r="18" s="18" customFormat="true" ht="15" hidden="false" customHeight="true" outlineLevel="0" collapsed="false">
      <c r="A18" s="17" t="s">
        <v>195</v>
      </c>
      <c r="B18" s="17" t="s">
        <v>173</v>
      </c>
      <c r="C18" s="17" t="s">
        <v>196</v>
      </c>
      <c r="D18" s="17" t="s">
        <v>197</v>
      </c>
      <c r="E18" s="17" t="s">
        <v>198</v>
      </c>
      <c r="F18" s="17" t="s">
        <v>132</v>
      </c>
      <c r="G18" s="17" t="n">
        <v>16</v>
      </c>
      <c r="H18" s="17" t="n">
        <v>360</v>
      </c>
      <c r="I18" s="17" t="s">
        <v>145</v>
      </c>
      <c r="J18" s="17" t="s">
        <v>146</v>
      </c>
      <c r="K18" s="17" t="s">
        <v>199</v>
      </c>
    </row>
    <row r="19" s="18" customFormat="true" ht="15" hidden="false" customHeight="true" outlineLevel="0" collapsed="false">
      <c r="A19" s="17" t="s">
        <v>200</v>
      </c>
      <c r="B19" s="17" t="s">
        <v>173</v>
      </c>
      <c r="C19" s="17" t="s">
        <v>196</v>
      </c>
      <c r="D19" s="17" t="s">
        <v>201</v>
      </c>
      <c r="E19" s="17" t="s">
        <v>202</v>
      </c>
      <c r="F19" s="17" t="s">
        <v>132</v>
      </c>
      <c r="G19" s="17" t="n">
        <v>16</v>
      </c>
      <c r="H19" s="17" t="n">
        <v>360</v>
      </c>
      <c r="I19" s="17" t="s">
        <v>145</v>
      </c>
      <c r="J19" s="17" t="s">
        <v>146</v>
      </c>
      <c r="K19" s="17" t="s">
        <v>199</v>
      </c>
    </row>
    <row r="20" s="18" customFormat="true" ht="15" hidden="false" customHeight="true" outlineLevel="0" collapsed="false">
      <c r="A20" s="17" t="s">
        <v>203</v>
      </c>
      <c r="B20" s="17" t="s">
        <v>173</v>
      </c>
      <c r="C20" s="17" t="s">
        <v>142</v>
      </c>
      <c r="D20" s="17" t="s">
        <v>204</v>
      </c>
      <c r="E20" s="17" t="s">
        <v>205</v>
      </c>
      <c r="F20" s="17" t="s">
        <v>132</v>
      </c>
      <c r="G20" s="17" t="n">
        <v>16</v>
      </c>
      <c r="H20" s="17" t="n">
        <v>670</v>
      </c>
      <c r="I20" s="17" t="s">
        <v>145</v>
      </c>
      <c r="J20" s="17" t="s">
        <v>146</v>
      </c>
      <c r="K20" s="17"/>
    </row>
    <row r="21" s="18" customFormat="true" ht="23.25" hidden="false" customHeight="true" outlineLevel="0" collapsed="false">
      <c r="A21" s="17" t="s">
        <v>206</v>
      </c>
      <c r="B21" s="17" t="s">
        <v>173</v>
      </c>
      <c r="C21" s="17" t="s">
        <v>148</v>
      </c>
      <c r="D21" s="17" t="s">
        <v>207</v>
      </c>
      <c r="E21" s="17" t="s">
        <v>208</v>
      </c>
      <c r="F21" s="17" t="s">
        <v>151</v>
      </c>
      <c r="G21" s="17" t="n">
        <v>96</v>
      </c>
      <c r="H21" s="17" t="n">
        <v>960</v>
      </c>
      <c r="I21" s="17" t="s">
        <v>145</v>
      </c>
      <c r="J21" s="17" t="s">
        <v>146</v>
      </c>
      <c r="K21" s="17" t="s">
        <v>209</v>
      </c>
    </row>
    <row r="22" s="18" customFormat="true" ht="15" hidden="false" customHeight="true" outlineLevel="0" collapsed="false">
      <c r="A22" s="17" t="s">
        <v>210</v>
      </c>
      <c r="B22" s="17" t="s">
        <v>173</v>
      </c>
      <c r="C22" s="17" t="s">
        <v>211</v>
      </c>
      <c r="D22" s="17" t="s">
        <v>212</v>
      </c>
      <c r="E22" s="17" t="s">
        <v>213</v>
      </c>
      <c r="F22" s="17" t="s">
        <v>132</v>
      </c>
      <c r="G22" s="17" t="n">
        <v>16</v>
      </c>
      <c r="H22" s="17" t="n">
        <v>670</v>
      </c>
      <c r="I22" s="17" t="s">
        <v>145</v>
      </c>
      <c r="J22" s="17" t="s">
        <v>146</v>
      </c>
      <c r="K22" s="17"/>
    </row>
    <row r="23" s="18" customFormat="true" ht="15" hidden="false" customHeight="true" outlineLevel="0" collapsed="false">
      <c r="A23" s="17" t="s">
        <v>214</v>
      </c>
      <c r="B23" s="17" t="s">
        <v>173</v>
      </c>
      <c r="C23" s="17" t="s">
        <v>129</v>
      </c>
      <c r="D23" s="17" t="s">
        <v>215</v>
      </c>
      <c r="E23" s="17" t="s">
        <v>216</v>
      </c>
      <c r="F23" s="17" t="s">
        <v>166</v>
      </c>
      <c r="G23" s="17" t="n">
        <v>16</v>
      </c>
      <c r="H23" s="17" t="n">
        <v>22420</v>
      </c>
      <c r="I23" s="17" t="s">
        <v>145</v>
      </c>
      <c r="J23" s="17" t="s">
        <v>146</v>
      </c>
      <c r="K23" s="17" t="s">
        <v>217</v>
      </c>
    </row>
    <row r="24" s="18" customFormat="true" ht="15" hidden="false" customHeight="true" outlineLevel="0" collapsed="false">
      <c r="A24" s="17" t="s">
        <v>218</v>
      </c>
      <c r="B24" s="17" t="s">
        <v>173</v>
      </c>
      <c r="C24" s="17" t="s">
        <v>129</v>
      </c>
      <c r="D24" s="17" t="s">
        <v>219</v>
      </c>
      <c r="E24" s="17" t="s">
        <v>220</v>
      </c>
      <c r="F24" s="17" t="s">
        <v>166</v>
      </c>
      <c r="G24" s="17" t="n">
        <v>16</v>
      </c>
      <c r="H24" s="17" t="n">
        <v>23225</v>
      </c>
      <c r="I24" s="17" t="s">
        <v>145</v>
      </c>
      <c r="J24" s="17" t="s">
        <v>146</v>
      </c>
      <c r="K24" s="17" t="s">
        <v>221</v>
      </c>
    </row>
    <row r="25" s="18" customFormat="true" ht="15" hidden="false" customHeight="true" outlineLevel="0" collapsed="false">
      <c r="A25" s="17" t="s">
        <v>222</v>
      </c>
      <c r="B25" s="17" t="s">
        <v>173</v>
      </c>
      <c r="C25" s="17" t="s">
        <v>187</v>
      </c>
      <c r="D25" s="17" t="s">
        <v>223</v>
      </c>
      <c r="E25" s="17" t="s">
        <v>224</v>
      </c>
      <c r="F25" s="17" t="s">
        <v>225</v>
      </c>
      <c r="G25" s="17" t="n">
        <v>24</v>
      </c>
      <c r="H25" s="17" t="n">
        <v>2400</v>
      </c>
      <c r="I25" s="17" t="s">
        <v>145</v>
      </c>
      <c r="J25" s="17" t="s">
        <v>146</v>
      </c>
      <c r="K25" s="17" t="s">
        <v>226</v>
      </c>
    </row>
    <row r="26" s="18" customFormat="true" ht="15" hidden="false" customHeight="true" outlineLevel="0" collapsed="false">
      <c r="A26" s="17" t="s">
        <v>227</v>
      </c>
      <c r="B26" s="17" t="s">
        <v>173</v>
      </c>
      <c r="C26" s="17" t="s">
        <v>196</v>
      </c>
      <c r="D26" s="17" t="s">
        <v>228</v>
      </c>
      <c r="E26" s="17" t="s">
        <v>229</v>
      </c>
      <c r="F26" s="17" t="s">
        <v>132</v>
      </c>
      <c r="G26" s="17" t="n">
        <v>16</v>
      </c>
      <c r="H26" s="17" t="n">
        <v>360</v>
      </c>
      <c r="I26" s="17" t="s">
        <v>145</v>
      </c>
      <c r="J26" s="17" t="s">
        <v>146</v>
      </c>
      <c r="K26" s="17" t="s">
        <v>230</v>
      </c>
    </row>
    <row r="27" s="18" customFormat="true" ht="15" hidden="false" customHeight="true" outlineLevel="0" collapsed="false">
      <c r="A27" s="17" t="s">
        <v>231</v>
      </c>
      <c r="B27" s="17" t="s">
        <v>173</v>
      </c>
      <c r="C27" s="17" t="s">
        <v>196</v>
      </c>
      <c r="D27" s="17" t="s">
        <v>232</v>
      </c>
      <c r="E27" s="17" t="s">
        <v>233</v>
      </c>
      <c r="F27" s="17" t="s">
        <v>132</v>
      </c>
      <c r="G27" s="17" t="n">
        <v>16</v>
      </c>
      <c r="H27" s="17" t="n">
        <v>360</v>
      </c>
      <c r="I27" s="17" t="s">
        <v>145</v>
      </c>
      <c r="J27" s="17" t="s">
        <v>146</v>
      </c>
      <c r="K27" s="17" t="s">
        <v>234</v>
      </c>
    </row>
    <row r="28" s="18" customFormat="true" ht="15" hidden="false" customHeight="true" outlineLevel="0" collapsed="false">
      <c r="A28" s="17" t="s">
        <v>235</v>
      </c>
      <c r="B28" s="17" t="s">
        <v>236</v>
      </c>
      <c r="C28" s="17" t="s">
        <v>129</v>
      </c>
      <c r="D28" s="17" t="s">
        <v>237</v>
      </c>
      <c r="E28" s="17" t="s">
        <v>238</v>
      </c>
      <c r="F28" s="17" t="s">
        <v>157</v>
      </c>
      <c r="G28" s="17"/>
      <c r="H28" s="17" t="n">
        <v>600</v>
      </c>
      <c r="I28" s="17" t="s">
        <v>145</v>
      </c>
      <c r="J28" s="17" t="s">
        <v>146</v>
      </c>
      <c r="K28" s="17" t="s">
        <v>239</v>
      </c>
    </row>
    <row r="29" s="18" customFormat="true" ht="15" hidden="false" customHeight="true" outlineLevel="0" collapsed="false">
      <c r="A29" s="17" t="s">
        <v>240</v>
      </c>
      <c r="B29" s="17" t="s">
        <v>236</v>
      </c>
      <c r="C29" s="17" t="s">
        <v>129</v>
      </c>
      <c r="D29" s="17" t="s">
        <v>241</v>
      </c>
      <c r="E29" s="17" t="s">
        <v>242</v>
      </c>
      <c r="F29" s="17" t="s">
        <v>162</v>
      </c>
      <c r="G29" s="17"/>
      <c r="H29" s="17" t="n">
        <v>300</v>
      </c>
      <c r="I29" s="17" t="s">
        <v>145</v>
      </c>
      <c r="J29" s="17" t="s">
        <v>146</v>
      </c>
      <c r="K29" s="17" t="s">
        <v>243</v>
      </c>
    </row>
    <row r="30" s="18" customFormat="true" ht="15" hidden="false" customHeight="true" outlineLevel="0" collapsed="false">
      <c r="A30" s="17" t="s">
        <v>244</v>
      </c>
      <c r="B30" s="17" t="s">
        <v>236</v>
      </c>
      <c r="C30" s="17" t="s">
        <v>129</v>
      </c>
      <c r="D30" s="17" t="s">
        <v>245</v>
      </c>
      <c r="E30" s="17" t="s">
        <v>246</v>
      </c>
      <c r="F30" s="17" t="s">
        <v>166</v>
      </c>
      <c r="G30" s="17" t="n">
        <v>16</v>
      </c>
      <c r="H30" s="17" t="n">
        <v>5994</v>
      </c>
      <c r="I30" s="17" t="s">
        <v>145</v>
      </c>
      <c r="J30" s="17" t="s">
        <v>146</v>
      </c>
      <c r="K30" s="17" t="s">
        <v>247</v>
      </c>
    </row>
    <row r="31" s="18" customFormat="true" ht="30.75" hidden="false" customHeight="true" outlineLevel="0" collapsed="false">
      <c r="A31" s="17" t="s">
        <v>248</v>
      </c>
      <c r="B31" s="17" t="s">
        <v>236</v>
      </c>
      <c r="C31" s="17" t="s">
        <v>129</v>
      </c>
      <c r="D31" s="17" t="s">
        <v>249</v>
      </c>
      <c r="E31" s="17" t="s">
        <v>250</v>
      </c>
      <c r="F31" s="17" t="s">
        <v>171</v>
      </c>
      <c r="G31" s="17" t="n">
        <v>8</v>
      </c>
      <c r="H31" s="17" t="n">
        <v>3994</v>
      </c>
      <c r="I31" s="17" t="s">
        <v>145</v>
      </c>
      <c r="J31" s="17" t="s">
        <v>146</v>
      </c>
      <c r="K31" s="17"/>
    </row>
    <row r="32" customFormat="false" ht="30" hidden="false" customHeight="true" outlineLevel="0" collapsed="false">
      <c r="A32" s="12" t="s">
        <v>251</v>
      </c>
      <c r="B32" s="12" t="s">
        <v>252</v>
      </c>
      <c r="C32" s="12" t="s">
        <v>253</v>
      </c>
      <c r="D32" s="12" t="s">
        <v>254</v>
      </c>
      <c r="E32" s="12" t="s">
        <v>255</v>
      </c>
      <c r="F32" s="12" t="s">
        <v>132</v>
      </c>
      <c r="G32" s="12" t="n">
        <v>16</v>
      </c>
      <c r="H32" s="12" t="n">
        <v>2500</v>
      </c>
      <c r="I32" s="12" t="s">
        <v>145</v>
      </c>
      <c r="J32" s="12" t="s">
        <v>146</v>
      </c>
      <c r="K32" s="12" t="s">
        <v>256</v>
      </c>
    </row>
    <row r="33" customFormat="false" ht="30" hidden="false" customHeight="true" outlineLevel="0" collapsed="false">
      <c r="A33" s="12" t="s">
        <v>257</v>
      </c>
      <c r="B33" s="12" t="s">
        <v>252</v>
      </c>
      <c r="C33" s="12" t="s">
        <v>253</v>
      </c>
      <c r="D33" s="12" t="s">
        <v>258</v>
      </c>
      <c r="E33" s="12" t="s">
        <v>259</v>
      </c>
      <c r="F33" s="12" t="s">
        <v>132</v>
      </c>
      <c r="G33" s="12" t="n">
        <v>16</v>
      </c>
      <c r="H33" s="12" t="n">
        <v>2060</v>
      </c>
      <c r="I33" s="12" t="s">
        <v>145</v>
      </c>
      <c r="J33" s="12" t="s">
        <v>146</v>
      </c>
      <c r="K33" s="12" t="s">
        <v>260</v>
      </c>
    </row>
    <row r="34" customFormat="false" ht="31.5" hidden="false" customHeight="true" outlineLevel="0" collapsed="false">
      <c r="A34" s="12" t="s">
        <v>261</v>
      </c>
      <c r="B34" s="12" t="s">
        <v>262</v>
      </c>
      <c r="C34" s="12" t="s">
        <v>263</v>
      </c>
      <c r="D34" s="12" t="s">
        <v>264</v>
      </c>
      <c r="E34" s="12" t="s">
        <v>265</v>
      </c>
      <c r="F34" s="12" t="s">
        <v>132</v>
      </c>
      <c r="G34" s="12" t="n">
        <v>16</v>
      </c>
      <c r="H34" s="12" t="n">
        <v>25000</v>
      </c>
      <c r="I34" s="12" t="s">
        <v>145</v>
      </c>
      <c r="J34" s="12" t="s">
        <v>146</v>
      </c>
      <c r="K34" s="12" t="s">
        <v>266</v>
      </c>
    </row>
    <row r="35" customFormat="false" ht="24" hidden="false" customHeight="true" outlineLevel="0" collapsed="false">
      <c r="A35" s="12" t="s">
        <v>267</v>
      </c>
      <c r="B35" s="12" t="s">
        <v>262</v>
      </c>
      <c r="C35" s="12" t="s">
        <v>263</v>
      </c>
      <c r="D35" s="12" t="s">
        <v>268</v>
      </c>
      <c r="E35" s="12" t="s">
        <v>269</v>
      </c>
      <c r="F35" s="12" t="s">
        <v>270</v>
      </c>
      <c r="G35" s="12" t="n">
        <v>48</v>
      </c>
      <c r="H35" s="12" t="n">
        <v>1800</v>
      </c>
      <c r="I35" s="12" t="s">
        <v>145</v>
      </c>
      <c r="J35" s="12" t="s">
        <v>146</v>
      </c>
      <c r="K35" s="12" t="s">
        <v>271</v>
      </c>
    </row>
    <row r="36" customFormat="false" ht="24.75" hidden="false" customHeight="true" outlineLevel="0" collapsed="false">
      <c r="A36" s="12" t="s">
        <v>272</v>
      </c>
      <c r="B36" s="12" t="s">
        <v>262</v>
      </c>
      <c r="C36" s="12" t="s">
        <v>263</v>
      </c>
      <c r="D36" s="12" t="s">
        <v>273</v>
      </c>
      <c r="E36" s="12" t="s">
        <v>274</v>
      </c>
      <c r="F36" s="12" t="s">
        <v>132</v>
      </c>
      <c r="G36" s="12" t="n">
        <v>16</v>
      </c>
      <c r="H36" s="12" t="n">
        <v>620</v>
      </c>
      <c r="I36" s="12" t="s">
        <v>145</v>
      </c>
      <c r="J36" s="12" t="s">
        <v>146</v>
      </c>
      <c r="K36" s="12"/>
    </row>
    <row r="37" customFormat="false" ht="31.5" hidden="false" customHeight="true" outlineLevel="0" collapsed="false">
      <c r="A37" s="12" t="s">
        <v>275</v>
      </c>
      <c r="B37" s="12" t="s">
        <v>262</v>
      </c>
      <c r="C37" s="12" t="s">
        <v>148</v>
      </c>
      <c r="D37" s="12" t="s">
        <v>276</v>
      </c>
      <c r="E37" s="12" t="s">
        <v>277</v>
      </c>
      <c r="F37" s="12" t="s">
        <v>151</v>
      </c>
      <c r="G37" s="12" t="n">
        <v>96</v>
      </c>
      <c r="H37" s="12" t="n">
        <v>960</v>
      </c>
      <c r="I37" s="12" t="s">
        <v>145</v>
      </c>
      <c r="J37" s="12" t="s">
        <v>146</v>
      </c>
      <c r="K37" s="12" t="s">
        <v>278</v>
      </c>
    </row>
    <row r="38" customFormat="false" ht="28.5" hidden="false" customHeight="true" outlineLevel="0" collapsed="false">
      <c r="A38" s="12" t="s">
        <v>279</v>
      </c>
      <c r="B38" s="12" t="s">
        <v>280</v>
      </c>
      <c r="C38" s="12" t="s">
        <v>281</v>
      </c>
      <c r="D38" s="12" t="s">
        <v>282</v>
      </c>
      <c r="E38" s="12" t="s">
        <v>283</v>
      </c>
      <c r="F38" s="12" t="s">
        <v>166</v>
      </c>
      <c r="G38" s="12" t="n">
        <v>16</v>
      </c>
      <c r="H38" s="12" t="n">
        <v>35500</v>
      </c>
      <c r="I38" s="12" t="s">
        <v>145</v>
      </c>
      <c r="J38" s="12" t="s">
        <v>146</v>
      </c>
      <c r="K38" s="12" t="s">
        <v>284</v>
      </c>
    </row>
    <row r="39" customFormat="false" ht="27" hidden="false" customHeight="true" outlineLevel="0" collapsed="false">
      <c r="A39" s="12" t="s">
        <v>285</v>
      </c>
      <c r="B39" s="12" t="s">
        <v>280</v>
      </c>
      <c r="C39" s="12" t="s">
        <v>281</v>
      </c>
      <c r="D39" s="12" t="s">
        <v>286</v>
      </c>
      <c r="E39" s="12" t="s">
        <v>287</v>
      </c>
      <c r="F39" s="12" t="s">
        <v>139</v>
      </c>
      <c r="G39" s="12" t="n">
        <v>16</v>
      </c>
      <c r="H39" s="12" t="n">
        <v>1250</v>
      </c>
      <c r="I39" s="12" t="s">
        <v>145</v>
      </c>
      <c r="J39" s="12" t="s">
        <v>146</v>
      </c>
      <c r="K39" s="12"/>
    </row>
    <row r="40" customFormat="false" ht="29.25" hidden="false" customHeight="true" outlineLevel="0" collapsed="false">
      <c r="A40" s="12" t="s">
        <v>288</v>
      </c>
      <c r="B40" s="12" t="s">
        <v>289</v>
      </c>
      <c r="C40" s="12" t="s">
        <v>129</v>
      </c>
      <c r="D40" s="12" t="s">
        <v>290</v>
      </c>
      <c r="E40" s="12" t="s">
        <v>291</v>
      </c>
      <c r="F40" s="12" t="s">
        <v>166</v>
      </c>
      <c r="G40" s="12" t="n">
        <v>16</v>
      </c>
      <c r="H40" s="12" t="n">
        <v>10200</v>
      </c>
      <c r="I40" s="12" t="s">
        <v>145</v>
      </c>
      <c r="J40" s="12" t="s">
        <v>146</v>
      </c>
      <c r="K40" s="12" t="s">
        <v>292</v>
      </c>
    </row>
    <row r="41" customFormat="false" ht="22.5" hidden="false" customHeight="true" outlineLevel="0" collapsed="false">
      <c r="A41" s="12" t="s">
        <v>293</v>
      </c>
      <c r="B41" s="12" t="s">
        <v>289</v>
      </c>
      <c r="C41" s="12" t="s">
        <v>129</v>
      </c>
      <c r="D41" s="12" t="s">
        <v>294</v>
      </c>
      <c r="E41" s="12" t="s">
        <v>295</v>
      </c>
      <c r="F41" s="12" t="s">
        <v>296</v>
      </c>
      <c r="G41" s="12" t="n">
        <v>96</v>
      </c>
      <c r="H41" s="12" t="n">
        <v>24480</v>
      </c>
      <c r="I41" s="12" t="s">
        <v>145</v>
      </c>
      <c r="J41" s="12" t="s">
        <v>146</v>
      </c>
      <c r="K41" s="12"/>
    </row>
    <row r="42" customFormat="false" ht="30" hidden="false" customHeight="true" outlineLevel="0" collapsed="false">
      <c r="A42" s="12" t="s">
        <v>297</v>
      </c>
      <c r="B42" s="12" t="s">
        <v>289</v>
      </c>
      <c r="C42" s="12" t="s">
        <v>129</v>
      </c>
      <c r="D42" s="12" t="s">
        <v>298</v>
      </c>
      <c r="E42" s="12" t="s">
        <v>299</v>
      </c>
      <c r="F42" s="12" t="s">
        <v>139</v>
      </c>
      <c r="G42" s="12" t="n">
        <v>16</v>
      </c>
      <c r="H42" s="12" t="n">
        <v>1250</v>
      </c>
      <c r="I42" s="12" t="s">
        <v>145</v>
      </c>
      <c r="J42" s="12" t="s">
        <v>146</v>
      </c>
      <c r="K42" s="12" t="s">
        <v>300</v>
      </c>
    </row>
    <row r="43" customFormat="false" ht="28.5" hidden="false" customHeight="true" outlineLevel="0" collapsed="false">
      <c r="A43" s="12" t="s">
        <v>301</v>
      </c>
      <c r="B43" s="12" t="s">
        <v>289</v>
      </c>
      <c r="C43" s="12" t="s">
        <v>148</v>
      </c>
      <c r="D43" s="12" t="s">
        <v>302</v>
      </c>
      <c r="E43" s="12" t="s">
        <v>303</v>
      </c>
      <c r="F43" s="12" t="s">
        <v>151</v>
      </c>
      <c r="G43" s="12" t="n">
        <v>96</v>
      </c>
      <c r="H43" s="12" t="n">
        <v>960</v>
      </c>
      <c r="I43" s="12" t="s">
        <v>145</v>
      </c>
      <c r="J43" s="12" t="s">
        <v>146</v>
      </c>
      <c r="K43" s="12" t="s">
        <v>304</v>
      </c>
    </row>
    <row r="44" customFormat="false" ht="18.75" hidden="false" customHeight="true" outlineLevel="0" collapsed="false">
      <c r="A44" s="12" t="s">
        <v>305</v>
      </c>
      <c r="B44" s="12" t="s">
        <v>289</v>
      </c>
      <c r="C44" s="12" t="s">
        <v>306</v>
      </c>
      <c r="D44" s="12" t="s">
        <v>307</v>
      </c>
      <c r="E44" s="12" t="s">
        <v>308</v>
      </c>
      <c r="F44" s="12" t="s">
        <v>309</v>
      </c>
      <c r="G44" s="12" t="n">
        <v>64</v>
      </c>
      <c r="H44" s="12" t="n">
        <v>2200</v>
      </c>
      <c r="I44" s="12" t="s">
        <v>145</v>
      </c>
      <c r="J44" s="12" t="s">
        <v>146</v>
      </c>
      <c r="K44" s="12"/>
    </row>
    <row r="45" customFormat="false" ht="24.75" hidden="false" customHeight="true" outlineLevel="0" collapsed="false">
      <c r="A45" s="12" t="s">
        <v>310</v>
      </c>
      <c r="B45" s="12" t="s">
        <v>289</v>
      </c>
      <c r="C45" s="12" t="s">
        <v>253</v>
      </c>
      <c r="D45" s="12" t="s">
        <v>311</v>
      </c>
      <c r="E45" s="12" t="s">
        <v>312</v>
      </c>
      <c r="F45" s="12" t="s">
        <v>313</v>
      </c>
      <c r="G45" s="12" t="n">
        <v>48</v>
      </c>
      <c r="H45" s="12" t="n">
        <v>800</v>
      </c>
      <c r="I45" s="12" t="s">
        <v>145</v>
      </c>
      <c r="J45" s="12" t="s">
        <v>146</v>
      </c>
      <c r="K45" s="12" t="s">
        <v>314</v>
      </c>
    </row>
    <row r="46" customFormat="false" ht="45.75" hidden="false" customHeight="true" outlineLevel="0" collapsed="false">
      <c r="A46" s="12" t="s">
        <v>315</v>
      </c>
      <c r="B46" s="12" t="s">
        <v>289</v>
      </c>
      <c r="C46" s="12" t="s">
        <v>187</v>
      </c>
      <c r="D46" s="12" t="s">
        <v>316</v>
      </c>
      <c r="E46" s="12" t="s">
        <v>317</v>
      </c>
      <c r="F46" s="12" t="s">
        <v>180</v>
      </c>
      <c r="G46" s="12" t="n">
        <v>4</v>
      </c>
      <c r="H46" s="12"/>
      <c r="I46" s="12" t="s">
        <v>133</v>
      </c>
      <c r="J46" s="12" t="s">
        <v>318</v>
      </c>
      <c r="K46" s="12" t="s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CE4E1"/>
    <pageSetUpPr fitToPage="false"/>
  </sheetPr>
  <dimension ref="A1:K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56" activeCellId="0" sqref="D56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0"/>
    <col collapsed="false" customWidth="true" hidden="false" outlineLevel="0" max="3" min="3" style="1" width="32"/>
    <col collapsed="false" customWidth="true" hidden="false" outlineLevel="0" max="4" min="4" style="1" width="16"/>
    <col collapsed="false" customWidth="true" hidden="false" outlineLevel="0" max="5" min="5" style="1" width="20"/>
    <col collapsed="false" customWidth="true" hidden="false" outlineLevel="0" max="6" min="6" style="1" width="19.45"/>
    <col collapsed="false" customWidth="true" hidden="false" outlineLevel="0" max="7" min="7" style="1" width="12"/>
    <col collapsed="false" customWidth="true" hidden="false" outlineLevel="0" max="8" min="8" style="1" width="11.82"/>
    <col collapsed="false" customWidth="true" hidden="false" outlineLevel="0" max="11" min="11" style="1" width="81.09"/>
    <col collapsed="false" customWidth="true" hidden="false" outlineLevel="0" max="12" min="12" style="1" width="11.09"/>
  </cols>
  <sheetData>
    <row r="1" customFormat="false" ht="15.75" hidden="false" customHeight="true" outlineLevel="0" collapsed="false">
      <c r="A1" s="16" t="s">
        <v>320</v>
      </c>
    </row>
    <row r="2" customFormat="false" ht="15" hidden="false" customHeight="true" outlineLevel="0" collapsed="false">
      <c r="A2" s="10" t="s">
        <v>321</v>
      </c>
    </row>
    <row r="4" customFormat="false" ht="66" hidden="false" customHeight="true" outlineLevel="0" collapsed="false">
      <c r="A4" s="19" t="s">
        <v>322</v>
      </c>
      <c r="B4" s="19" t="s">
        <v>323</v>
      </c>
      <c r="C4" s="19" t="s">
        <v>324</v>
      </c>
      <c r="D4" s="19" t="s">
        <v>325</v>
      </c>
      <c r="E4" s="19" t="s">
        <v>326</v>
      </c>
      <c r="F4" s="19" t="s">
        <v>126</v>
      </c>
      <c r="G4" s="19" t="s">
        <v>327</v>
      </c>
      <c r="H4" s="19" t="s">
        <v>328</v>
      </c>
      <c r="I4" s="19" t="s">
        <v>329</v>
      </c>
      <c r="J4" s="19" t="s">
        <v>330</v>
      </c>
      <c r="K4" s="19" t="s">
        <v>331</v>
      </c>
    </row>
    <row r="5" s="23" customFormat="true" ht="15" hidden="false" customHeight="true" outlineLevel="0" collapsed="false">
      <c r="A5" s="20" t="s">
        <v>332</v>
      </c>
      <c r="B5" s="21"/>
      <c r="C5" s="21"/>
      <c r="D5" s="21"/>
      <c r="E5" s="21"/>
      <c r="F5" s="21"/>
      <c r="G5" s="22"/>
      <c r="H5" s="21"/>
      <c r="I5" s="21"/>
      <c r="J5" s="21"/>
      <c r="K5" s="21"/>
    </row>
    <row r="6" customFormat="false" ht="23.25" hidden="false" customHeight="true" outlineLevel="0" collapsed="false">
      <c r="A6" s="24" t="s">
        <v>333</v>
      </c>
      <c r="B6" s="25" t="s">
        <v>334</v>
      </c>
      <c r="C6" s="26" t="s">
        <v>335</v>
      </c>
      <c r="D6" s="24" t="s">
        <v>336</v>
      </c>
      <c r="E6" s="27" t="n">
        <v>10977015</v>
      </c>
      <c r="G6" s="28" t="n">
        <v>13.86</v>
      </c>
      <c r="H6" s="24" t="n">
        <v>500</v>
      </c>
      <c r="I6" s="24" t="s">
        <v>337</v>
      </c>
      <c r="J6" s="24"/>
      <c r="K6" s="24" t="s">
        <v>338</v>
      </c>
    </row>
    <row r="7" customFormat="false" ht="23.25" hidden="false" customHeight="true" outlineLevel="0" collapsed="false">
      <c r="A7" s="24" t="s">
        <v>339</v>
      </c>
      <c r="B7" s="25" t="s">
        <v>340</v>
      </c>
      <c r="C7" s="26" t="s">
        <v>341</v>
      </c>
      <c r="D7" s="24" t="s">
        <v>342</v>
      </c>
      <c r="E7" s="24" t="s">
        <v>343</v>
      </c>
      <c r="G7" s="24" t="n">
        <v>19.02</v>
      </c>
      <c r="H7" s="24" t="n">
        <v>500</v>
      </c>
      <c r="I7" s="24" t="s">
        <v>337</v>
      </c>
      <c r="J7" s="24" t="s">
        <v>344</v>
      </c>
      <c r="K7" s="24" t="s">
        <v>345</v>
      </c>
    </row>
    <row r="8" customFormat="false" ht="45.75" hidden="false" customHeight="true" outlineLevel="0" collapsed="false">
      <c r="A8" s="24" t="s">
        <v>346</v>
      </c>
      <c r="B8" s="29" t="s">
        <v>347</v>
      </c>
      <c r="C8" s="29" t="s">
        <v>348</v>
      </c>
      <c r="D8" s="24" t="s">
        <v>349</v>
      </c>
      <c r="E8" s="24" t="s">
        <v>350</v>
      </c>
      <c r="F8" s="29" t="s">
        <v>351</v>
      </c>
      <c r="G8" s="28" t="n">
        <v>109</v>
      </c>
      <c r="H8" s="24" t="n">
        <v>500</v>
      </c>
      <c r="I8" s="24" t="s">
        <v>337</v>
      </c>
      <c r="J8" s="24"/>
      <c r="K8" s="24" t="s">
        <v>352</v>
      </c>
    </row>
    <row r="9" customFormat="false" ht="34.5" hidden="false" customHeight="true" outlineLevel="0" collapsed="false">
      <c r="A9" s="24" t="s">
        <v>353</v>
      </c>
      <c r="B9" s="24" t="s">
        <v>347</v>
      </c>
      <c r="C9" s="24" t="s">
        <v>354</v>
      </c>
      <c r="D9" s="24" t="s">
        <v>355</v>
      </c>
      <c r="E9" s="24" t="s">
        <v>356</v>
      </c>
      <c r="F9" s="24" t="s">
        <v>357</v>
      </c>
      <c r="G9" s="28" t="n">
        <v>49.9</v>
      </c>
      <c r="H9" s="30" t="n">
        <v>250</v>
      </c>
      <c r="I9" s="24" t="s">
        <v>337</v>
      </c>
      <c r="J9" s="24" t="s">
        <v>358</v>
      </c>
      <c r="K9" s="24" t="s">
        <v>359</v>
      </c>
    </row>
    <row r="10" customFormat="false" ht="34.5" hidden="false" customHeight="true" outlineLevel="0" collapsed="false">
      <c r="A10" s="24" t="s">
        <v>360</v>
      </c>
      <c r="B10" s="24" t="s">
        <v>347</v>
      </c>
      <c r="C10" s="24" t="s">
        <v>361</v>
      </c>
      <c r="D10" s="24" t="s">
        <v>362</v>
      </c>
      <c r="E10" s="24" t="s">
        <v>363</v>
      </c>
      <c r="F10" s="24" t="s">
        <v>364</v>
      </c>
      <c r="G10" s="31" t="n">
        <v>1635.9</v>
      </c>
      <c r="H10" s="24" t="n">
        <v>60</v>
      </c>
      <c r="I10" s="24" t="s">
        <v>337</v>
      </c>
      <c r="J10" s="24" t="s">
        <v>365</v>
      </c>
      <c r="K10" s="24" t="s">
        <v>366</v>
      </c>
    </row>
    <row r="11" customFormat="false" ht="15" hidden="false" customHeight="true" outlineLevel="0" collapsed="false">
      <c r="A11" s="24" t="s">
        <v>367</v>
      </c>
      <c r="B11" s="24" t="s">
        <v>368</v>
      </c>
      <c r="C11" s="32" t="s">
        <v>369</v>
      </c>
      <c r="D11" s="24" t="s">
        <v>370</v>
      </c>
      <c r="E11" s="24" t="s">
        <v>371</v>
      </c>
      <c r="F11" s="24" t="s">
        <v>372</v>
      </c>
      <c r="G11" s="28" t="n">
        <v>426.65</v>
      </c>
      <c r="H11" s="24" t="n">
        <v>500</v>
      </c>
      <c r="I11" s="24" t="s">
        <v>373</v>
      </c>
      <c r="J11" s="24"/>
      <c r="K11" s="24" t="s">
        <v>374</v>
      </c>
    </row>
    <row r="12" customFormat="false" ht="34.5" hidden="false" customHeight="true" outlineLevel="0" collapsed="false">
      <c r="A12" s="24" t="s">
        <v>375</v>
      </c>
      <c r="B12" s="24" t="s">
        <v>368</v>
      </c>
      <c r="C12" s="24" t="s">
        <v>376</v>
      </c>
      <c r="D12" s="24" t="s">
        <v>377</v>
      </c>
      <c r="E12" s="24" t="s">
        <v>378</v>
      </c>
      <c r="F12" s="24"/>
      <c r="G12" s="24" t="n">
        <v>606.25</v>
      </c>
      <c r="H12" s="24" t="n">
        <v>1</v>
      </c>
      <c r="I12" s="24" t="s">
        <v>379</v>
      </c>
      <c r="J12" s="24" t="s">
        <v>365</v>
      </c>
      <c r="K12" s="24" t="s">
        <v>380</v>
      </c>
    </row>
    <row r="13" customFormat="false" ht="15" hidden="false" customHeight="true" outlineLevel="0" collapsed="false">
      <c r="A13" s="24" t="s">
        <v>381</v>
      </c>
      <c r="B13" s="24" t="s">
        <v>368</v>
      </c>
      <c r="C13" s="24" t="s">
        <v>382</v>
      </c>
      <c r="D13" s="24" t="s">
        <v>383</v>
      </c>
      <c r="E13" s="24" t="s">
        <v>384</v>
      </c>
      <c r="F13" s="24" t="s">
        <v>385</v>
      </c>
      <c r="G13" s="28" t="n">
        <v>40.52</v>
      </c>
      <c r="H13" s="24" t="n">
        <v>5</v>
      </c>
      <c r="I13" s="24" t="s">
        <v>337</v>
      </c>
      <c r="J13" s="24" t="s">
        <v>386</v>
      </c>
      <c r="K13" s="24" t="s">
        <v>387</v>
      </c>
    </row>
    <row r="14" customFormat="false" ht="15" hidden="false" customHeight="true" outlineLevel="0" collapsed="false">
      <c r="A14" s="24" t="s">
        <v>388</v>
      </c>
      <c r="B14" s="24" t="s">
        <v>368</v>
      </c>
      <c r="C14" s="24" t="s">
        <v>389</v>
      </c>
      <c r="D14" s="24" t="s">
        <v>390</v>
      </c>
      <c r="E14" s="24" t="s">
        <v>391</v>
      </c>
      <c r="F14" s="24"/>
      <c r="G14" s="24"/>
      <c r="H14" s="24"/>
      <c r="I14" s="24"/>
      <c r="J14" s="24"/>
      <c r="K14" s="24" t="s">
        <v>392</v>
      </c>
    </row>
    <row r="15" customFormat="false" ht="23.25" hidden="false" customHeight="true" outlineLevel="0" collapsed="false">
      <c r="A15" s="24" t="s">
        <v>393</v>
      </c>
      <c r="B15" s="25" t="s">
        <v>334</v>
      </c>
      <c r="C15" s="26" t="s">
        <v>394</v>
      </c>
      <c r="D15" s="24" t="s">
        <v>395</v>
      </c>
      <c r="E15" s="24" t="s">
        <v>396</v>
      </c>
      <c r="G15" s="24" t="n">
        <v>47</v>
      </c>
      <c r="H15" s="24" t="n">
        <v>1000</v>
      </c>
      <c r="I15" s="24" t="s">
        <v>397</v>
      </c>
      <c r="J15" s="24" t="s">
        <v>398</v>
      </c>
      <c r="K15" s="24" t="s">
        <v>399</v>
      </c>
    </row>
    <row r="16" customFormat="false" ht="23.25" hidden="false" customHeight="true" outlineLevel="0" collapsed="false">
      <c r="A16" s="24" t="s">
        <v>400</v>
      </c>
      <c r="B16" s="25" t="s">
        <v>334</v>
      </c>
      <c r="C16" s="26" t="s">
        <v>401</v>
      </c>
      <c r="D16" s="24" t="s">
        <v>402</v>
      </c>
      <c r="E16" s="24" t="s">
        <v>403</v>
      </c>
      <c r="G16" s="24" t="n">
        <v>46.2</v>
      </c>
      <c r="H16" s="24" t="n">
        <v>500</v>
      </c>
      <c r="I16" s="24" t="s">
        <v>404</v>
      </c>
      <c r="J16" s="24" t="s">
        <v>386</v>
      </c>
      <c r="K16" s="24" t="s">
        <v>405</v>
      </c>
    </row>
    <row r="17" customFormat="false" ht="23.25" hidden="false" customHeight="true" outlineLevel="0" collapsed="false">
      <c r="A17" s="24" t="s">
        <v>406</v>
      </c>
      <c r="B17" s="25"/>
      <c r="C17" s="26" t="s">
        <v>407</v>
      </c>
      <c r="D17" s="24"/>
      <c r="E17" s="24"/>
      <c r="G17" s="24"/>
      <c r="H17" s="24"/>
      <c r="I17" s="24"/>
      <c r="J17" s="24"/>
      <c r="K17" s="24"/>
    </row>
    <row r="18" customFormat="false" ht="14.25" hidden="false" customHeight="true" outlineLevel="0" collapsed="false">
      <c r="A18" s="24" t="s">
        <v>408</v>
      </c>
      <c r="C18" s="26" t="s">
        <v>409</v>
      </c>
    </row>
    <row r="19" customFormat="false" ht="23.25" hidden="false" customHeight="true" outlineLevel="0" collapsed="false">
      <c r="A19" s="24" t="s">
        <v>410</v>
      </c>
      <c r="B19" s="25" t="s">
        <v>334</v>
      </c>
      <c r="C19" s="26" t="s">
        <v>411</v>
      </c>
      <c r="D19" s="24"/>
      <c r="E19" s="24"/>
      <c r="G19" s="24"/>
      <c r="H19" s="24"/>
      <c r="I19" s="24" t="s">
        <v>397</v>
      </c>
      <c r="J19" s="24"/>
      <c r="K19" s="24" t="s">
        <v>412</v>
      </c>
    </row>
    <row r="20" customFormat="false" ht="23.25" hidden="false" customHeight="true" outlineLevel="0" collapsed="false">
      <c r="A20" s="24" t="s">
        <v>413</v>
      </c>
      <c r="B20" s="25" t="s">
        <v>414</v>
      </c>
      <c r="C20" s="26" t="s">
        <v>415</v>
      </c>
      <c r="D20" s="24" t="s">
        <v>416</v>
      </c>
      <c r="E20" s="24" t="s">
        <v>417</v>
      </c>
      <c r="G20" s="24" t="n">
        <v>4546.5</v>
      </c>
      <c r="H20" s="24" t="n">
        <v>5</v>
      </c>
      <c r="I20" s="24" t="s">
        <v>418</v>
      </c>
      <c r="J20" s="24" t="s">
        <v>419</v>
      </c>
      <c r="K20" s="24" t="s">
        <v>420</v>
      </c>
    </row>
    <row r="21" customFormat="false" ht="23.25" hidden="false" customHeight="true" outlineLevel="0" collapsed="false">
      <c r="A21" s="24" t="s">
        <v>421</v>
      </c>
      <c r="B21" s="25" t="s">
        <v>414</v>
      </c>
      <c r="C21" s="26" t="s">
        <v>422</v>
      </c>
      <c r="D21" s="24" t="s">
        <v>416</v>
      </c>
      <c r="E21" s="24" t="s">
        <v>423</v>
      </c>
      <c r="G21" s="24" t="n">
        <v>4546.5</v>
      </c>
      <c r="H21" s="24" t="n">
        <v>5</v>
      </c>
      <c r="I21" s="24" t="s">
        <v>418</v>
      </c>
      <c r="J21" s="24" t="s">
        <v>419</v>
      </c>
      <c r="K21" s="24" t="s">
        <v>420</v>
      </c>
    </row>
    <row r="22" customFormat="false" ht="23.25" hidden="false" customHeight="true" outlineLevel="0" collapsed="false">
      <c r="A22" s="24" t="s">
        <v>424</v>
      </c>
      <c r="B22" s="25" t="s">
        <v>425</v>
      </c>
      <c r="C22" s="26" t="s">
        <v>426</v>
      </c>
      <c r="D22" s="24" t="s">
        <v>416</v>
      </c>
      <c r="E22" s="24" t="s">
        <v>427</v>
      </c>
      <c r="G22" s="24" t="n">
        <v>517</v>
      </c>
      <c r="H22" s="24" t="n">
        <v>20</v>
      </c>
      <c r="I22" s="24" t="s">
        <v>397</v>
      </c>
      <c r="J22" s="24"/>
      <c r="K22" s="24"/>
    </row>
    <row r="23" customFormat="false" ht="23.25" hidden="false" customHeight="true" outlineLevel="0" collapsed="false">
      <c r="A23" s="24" t="s">
        <v>428</v>
      </c>
      <c r="B23" s="25" t="s">
        <v>425</v>
      </c>
      <c r="C23" s="26" t="s">
        <v>429</v>
      </c>
      <c r="D23" s="24" t="s">
        <v>416</v>
      </c>
      <c r="E23" s="24" t="s">
        <v>427</v>
      </c>
      <c r="G23" s="24" t="n">
        <v>517</v>
      </c>
      <c r="H23" s="24" t="n">
        <v>20</v>
      </c>
      <c r="I23" s="24" t="s">
        <v>397</v>
      </c>
      <c r="J23" s="24" t="s">
        <v>358</v>
      </c>
      <c r="K23" s="24" t="s">
        <v>430</v>
      </c>
    </row>
    <row r="24" customFormat="false" ht="24.75" hidden="false" customHeight="true" outlineLevel="0" collapsed="false">
      <c r="A24" s="24" t="s">
        <v>431</v>
      </c>
      <c r="B24" s="25" t="s">
        <v>425</v>
      </c>
      <c r="C24" s="29" t="s">
        <v>432</v>
      </c>
      <c r="D24" s="29" t="s">
        <v>416</v>
      </c>
      <c r="E24" s="29" t="s">
        <v>433</v>
      </c>
      <c r="F24" s="29" t="s">
        <v>434</v>
      </c>
      <c r="G24" s="33" t="n">
        <v>229</v>
      </c>
      <c r="H24" s="1" t="n">
        <v>1000</v>
      </c>
      <c r="I24" s="29" t="s">
        <v>397</v>
      </c>
    </row>
    <row r="25" customFormat="false" ht="23.25" hidden="false" customHeight="true" outlineLevel="0" collapsed="false">
      <c r="A25" s="24" t="s">
        <v>435</v>
      </c>
      <c r="B25" s="25" t="s">
        <v>334</v>
      </c>
      <c r="C25" s="26" t="s">
        <v>436</v>
      </c>
      <c r="D25" s="24"/>
      <c r="E25" s="24"/>
      <c r="G25" s="24"/>
      <c r="H25" s="24"/>
      <c r="I25" s="24" t="s">
        <v>397</v>
      </c>
      <c r="J25" s="24"/>
      <c r="K25" s="24" t="s">
        <v>437</v>
      </c>
    </row>
    <row r="26" customFormat="false" ht="23.25" hidden="false" customHeight="true" outlineLevel="0" collapsed="false">
      <c r="A26" s="24" t="s">
        <v>438</v>
      </c>
      <c r="B26" s="25" t="s">
        <v>334</v>
      </c>
      <c r="C26" s="26" t="s">
        <v>439</v>
      </c>
      <c r="D26" s="24" t="s">
        <v>440</v>
      </c>
      <c r="E26" s="24" t="s">
        <v>441</v>
      </c>
      <c r="G26" s="24" t="n">
        <v>44</v>
      </c>
      <c r="H26" s="24" t="n">
        <v>250</v>
      </c>
      <c r="I26" s="24" t="s">
        <v>337</v>
      </c>
      <c r="J26" s="24" t="s">
        <v>442</v>
      </c>
      <c r="K26" s="24" t="s">
        <v>443</v>
      </c>
    </row>
    <row r="27" customFormat="false" ht="23.25" hidden="false" customHeight="true" outlineLevel="0" collapsed="false">
      <c r="A27" s="24" t="s">
        <v>444</v>
      </c>
      <c r="B27" s="25" t="s">
        <v>334</v>
      </c>
      <c r="C27" s="26" t="s">
        <v>445</v>
      </c>
      <c r="D27" s="24" t="s">
        <v>446</v>
      </c>
      <c r="E27" s="24" t="s">
        <v>447</v>
      </c>
      <c r="G27" s="24" t="n">
        <v>14.55</v>
      </c>
      <c r="H27" s="24" t="n">
        <v>1000</v>
      </c>
      <c r="I27" s="24" t="s">
        <v>337</v>
      </c>
      <c r="J27" s="24" t="s">
        <v>448</v>
      </c>
      <c r="K27" s="24" t="s">
        <v>449</v>
      </c>
    </row>
    <row r="28" customFormat="false" ht="23.25" hidden="false" customHeight="true" outlineLevel="0" collapsed="false">
      <c r="A28" s="24" t="s">
        <v>450</v>
      </c>
      <c r="B28" s="25" t="s">
        <v>334</v>
      </c>
      <c r="C28" s="26" t="s">
        <v>451</v>
      </c>
      <c r="D28" s="24" t="s">
        <v>402</v>
      </c>
      <c r="E28" s="24" t="s">
        <v>452</v>
      </c>
      <c r="G28" s="24" t="n">
        <v>57</v>
      </c>
      <c r="H28" s="24" t="n">
        <v>100</v>
      </c>
      <c r="I28" s="24" t="s">
        <v>337</v>
      </c>
      <c r="J28" s="24" t="s">
        <v>453</v>
      </c>
      <c r="K28" s="24" t="s">
        <v>454</v>
      </c>
    </row>
    <row r="29" customFormat="false" ht="23.25" hidden="false" customHeight="true" outlineLevel="0" collapsed="false">
      <c r="A29" s="24" t="s">
        <v>455</v>
      </c>
      <c r="B29" s="25" t="s">
        <v>334</v>
      </c>
      <c r="C29" s="26" t="s">
        <v>456</v>
      </c>
      <c r="D29" s="24" t="s">
        <v>402</v>
      </c>
      <c r="E29" s="24" t="s">
        <v>457</v>
      </c>
      <c r="G29" s="24" t="n">
        <v>106</v>
      </c>
      <c r="H29" s="24" t="n">
        <v>500</v>
      </c>
      <c r="I29" s="24" t="s">
        <v>337</v>
      </c>
      <c r="J29" s="24" t="s">
        <v>458</v>
      </c>
      <c r="K29" s="24" t="s">
        <v>459</v>
      </c>
    </row>
    <row r="30" customFormat="false" ht="23.25" hidden="false" customHeight="true" outlineLevel="0" collapsed="false">
      <c r="A30" s="24" t="s">
        <v>460</v>
      </c>
      <c r="B30" s="25" t="s">
        <v>334</v>
      </c>
      <c r="C30" s="26" t="s">
        <v>461</v>
      </c>
      <c r="D30" s="24" t="s">
        <v>462</v>
      </c>
      <c r="E30" s="24" t="s">
        <v>463</v>
      </c>
      <c r="G30" s="24" t="n">
        <v>124.65</v>
      </c>
      <c r="H30" s="24" t="n">
        <v>1</v>
      </c>
      <c r="I30" s="24" t="s">
        <v>337</v>
      </c>
      <c r="J30" s="24" t="s">
        <v>464</v>
      </c>
      <c r="K30" s="24" t="s">
        <v>465</v>
      </c>
    </row>
    <row r="31" customFormat="false" ht="23.25" hidden="false" customHeight="true" outlineLevel="0" collapsed="false">
      <c r="A31" s="24" t="s">
        <v>466</v>
      </c>
      <c r="B31" s="25" t="s">
        <v>467</v>
      </c>
      <c r="C31" s="26" t="s">
        <v>468</v>
      </c>
      <c r="D31" s="24" t="s">
        <v>469</v>
      </c>
      <c r="E31" s="34" t="s">
        <v>470</v>
      </c>
      <c r="G31" s="24" t="n">
        <v>103.8</v>
      </c>
      <c r="H31" s="24" t="n">
        <v>25</v>
      </c>
      <c r="I31" s="24" t="s">
        <v>404</v>
      </c>
      <c r="J31" s="24" t="s">
        <v>471</v>
      </c>
      <c r="K31" s="24" t="s">
        <v>472</v>
      </c>
    </row>
    <row r="32" customFormat="false" ht="37.5" hidden="false" customHeight="true" outlineLevel="0" collapsed="false">
      <c r="A32" s="24" t="s">
        <v>473</v>
      </c>
      <c r="B32" s="29" t="s">
        <v>474</v>
      </c>
      <c r="C32" s="29" t="s">
        <v>475</v>
      </c>
      <c r="D32" s="24" t="s">
        <v>476</v>
      </c>
      <c r="E32" s="24" t="s">
        <v>477</v>
      </c>
      <c r="F32" s="29" t="s">
        <v>478</v>
      </c>
      <c r="G32" s="24" t="n">
        <v>6.78</v>
      </c>
      <c r="H32" s="24" t="n">
        <v>500</v>
      </c>
      <c r="I32" s="24" t="s">
        <v>337</v>
      </c>
      <c r="J32" s="24" t="s">
        <v>145</v>
      </c>
      <c r="K32" s="24" t="s">
        <v>479</v>
      </c>
    </row>
    <row r="33" customFormat="false" ht="27.75" hidden="false" customHeight="true" outlineLevel="0" collapsed="false">
      <c r="A33" s="24" t="s">
        <v>480</v>
      </c>
      <c r="B33" s="29" t="s">
        <v>474</v>
      </c>
      <c r="C33" s="29" t="s">
        <v>481</v>
      </c>
      <c r="D33" s="24" t="s">
        <v>440</v>
      </c>
      <c r="E33" s="24" t="n">
        <v>600212</v>
      </c>
      <c r="F33" s="29"/>
      <c r="G33" s="24" t="n">
        <v>32</v>
      </c>
      <c r="H33" s="24" t="n">
        <v>100</v>
      </c>
      <c r="I33" s="24" t="s">
        <v>337</v>
      </c>
      <c r="J33" s="24" t="s">
        <v>442</v>
      </c>
      <c r="K33" s="24" t="s">
        <v>482</v>
      </c>
    </row>
    <row r="34" customFormat="false" ht="34.5" hidden="false" customHeight="true" outlineLevel="0" collapsed="false">
      <c r="A34" s="24" t="s">
        <v>483</v>
      </c>
      <c r="B34" s="29" t="s">
        <v>474</v>
      </c>
      <c r="C34" s="29" t="s">
        <v>484</v>
      </c>
      <c r="D34" s="24" t="s">
        <v>485</v>
      </c>
      <c r="E34" s="24" t="s">
        <v>486</v>
      </c>
      <c r="F34" s="29" t="s">
        <v>487</v>
      </c>
      <c r="G34" s="24" t="n">
        <v>388</v>
      </c>
      <c r="H34" s="24" t="n">
        <v>100</v>
      </c>
      <c r="I34" s="24" t="s">
        <v>488</v>
      </c>
      <c r="J34" s="24" t="s">
        <v>489</v>
      </c>
      <c r="K34" s="24" t="s">
        <v>490</v>
      </c>
    </row>
    <row r="35" customFormat="false" ht="33" hidden="false" customHeight="true" outlineLevel="0" collapsed="false">
      <c r="A35" s="24" t="s">
        <v>491</v>
      </c>
      <c r="B35" s="29" t="s">
        <v>474</v>
      </c>
      <c r="C35" s="29" t="s">
        <v>492</v>
      </c>
      <c r="D35" s="24" t="s">
        <v>493</v>
      </c>
      <c r="E35" s="35" t="s">
        <v>494</v>
      </c>
      <c r="F35" s="29"/>
      <c r="G35" s="24" t="n">
        <v>606</v>
      </c>
      <c r="H35" s="24" t="n">
        <v>25</v>
      </c>
      <c r="I35" s="24" t="s">
        <v>337</v>
      </c>
      <c r="J35" s="24"/>
      <c r="K35" s="24" t="s">
        <v>495</v>
      </c>
    </row>
    <row r="36" customFormat="false" ht="31.5" hidden="false" customHeight="true" outlineLevel="0" collapsed="false">
      <c r="A36" s="24" t="s">
        <v>496</v>
      </c>
      <c r="B36" s="29" t="s">
        <v>497</v>
      </c>
      <c r="C36" s="29" t="s">
        <v>498</v>
      </c>
      <c r="D36" s="24"/>
      <c r="E36" s="24"/>
      <c r="G36" s="24"/>
      <c r="H36" s="24"/>
      <c r="I36" s="24"/>
      <c r="J36" s="24"/>
      <c r="K36" s="24" t="s">
        <v>499</v>
      </c>
    </row>
    <row r="37" customFormat="false" ht="41.25" hidden="false" customHeight="true" outlineLevel="0" collapsed="false">
      <c r="A37" s="24" t="s">
        <v>500</v>
      </c>
      <c r="B37" s="29" t="s">
        <v>501</v>
      </c>
      <c r="C37" s="29" t="s">
        <v>502</v>
      </c>
      <c r="D37" s="24" t="s">
        <v>342</v>
      </c>
      <c r="E37" s="24" t="s">
        <v>503</v>
      </c>
      <c r="G37" s="24" t="n">
        <v>356.71</v>
      </c>
      <c r="H37" s="24" t="n">
        <v>500</v>
      </c>
      <c r="I37" s="24" t="s">
        <v>337</v>
      </c>
      <c r="J37" s="24" t="s">
        <v>504</v>
      </c>
      <c r="K37" s="24" t="s">
        <v>505</v>
      </c>
    </row>
    <row r="38" customFormat="false" ht="40.5" hidden="false" customHeight="true" outlineLevel="0" collapsed="false">
      <c r="A38" s="24" t="s">
        <v>506</v>
      </c>
      <c r="B38" s="29" t="s">
        <v>507</v>
      </c>
      <c r="C38" s="29" t="s">
        <v>508</v>
      </c>
      <c r="D38" s="24"/>
      <c r="E38" s="24"/>
      <c r="G38" s="24"/>
      <c r="H38" s="24"/>
      <c r="I38" s="24"/>
      <c r="J38" s="24"/>
      <c r="K38" s="24" t="s">
        <v>509</v>
      </c>
    </row>
    <row r="39" customFormat="false" ht="37.5" hidden="false" customHeight="true" outlineLevel="0" collapsed="false">
      <c r="A39" s="24" t="s">
        <v>510</v>
      </c>
      <c r="B39" s="29" t="s">
        <v>511</v>
      </c>
      <c r="C39" s="29" t="s">
        <v>512</v>
      </c>
      <c r="D39" s="24" t="s">
        <v>513</v>
      </c>
      <c r="E39" s="24" t="s">
        <v>514</v>
      </c>
      <c r="G39" s="24" t="n">
        <v>263.34</v>
      </c>
      <c r="H39" s="24" t="n">
        <v>100</v>
      </c>
      <c r="I39" s="24" t="s">
        <v>337</v>
      </c>
      <c r="J39" s="24" t="s">
        <v>515</v>
      </c>
      <c r="K39" s="24" t="s">
        <v>516</v>
      </c>
    </row>
    <row r="40" customFormat="false" ht="14.25" hidden="false" customHeight="true" outlineLevel="0" collapsed="false">
      <c r="A40" s="24"/>
      <c r="B40" s="29"/>
      <c r="C40" s="29"/>
      <c r="D40" s="24"/>
      <c r="E40" s="24"/>
      <c r="G40" s="24"/>
      <c r="H40" s="24"/>
      <c r="I40" s="24"/>
      <c r="J40" s="24"/>
      <c r="K40" s="24"/>
    </row>
    <row r="41" s="23" customFormat="true" ht="14.25" hidden="false" customHeight="true" outlineLevel="0" collapsed="false">
      <c r="A41" s="20" t="s">
        <v>517</v>
      </c>
      <c r="B41" s="36" t="s">
        <v>289</v>
      </c>
      <c r="C41" s="36" t="s">
        <v>518</v>
      </c>
      <c r="D41" s="21" t="s">
        <v>519</v>
      </c>
      <c r="E41" s="21" t="s">
        <v>520</v>
      </c>
      <c r="F41" s="23" t="s">
        <v>521</v>
      </c>
      <c r="G41" s="21" t="n">
        <v>101.25</v>
      </c>
      <c r="H41" s="21" t="n">
        <v>25</v>
      </c>
      <c r="I41" s="21" t="s">
        <v>337</v>
      </c>
      <c r="J41" s="21"/>
      <c r="K41" s="21" t="s">
        <v>522</v>
      </c>
    </row>
    <row r="42" customFormat="false" ht="14.25" hidden="false" customHeight="true" outlineLevel="0" collapsed="false">
      <c r="A42" s="20" t="s">
        <v>523</v>
      </c>
      <c r="B42" s="36" t="s">
        <v>289</v>
      </c>
      <c r="C42" s="36" t="s">
        <v>524</v>
      </c>
      <c r="D42" s="21" t="s">
        <v>349</v>
      </c>
      <c r="E42" s="21" t="s">
        <v>525</v>
      </c>
      <c r="F42" s="1" t="s">
        <v>526</v>
      </c>
      <c r="G42" s="21" t="n">
        <v>62.79</v>
      </c>
      <c r="H42" s="21" t="n">
        <v>100</v>
      </c>
      <c r="I42" s="21" t="s">
        <v>337</v>
      </c>
      <c r="J42" s="21"/>
      <c r="K42" s="21" t="s">
        <v>527</v>
      </c>
    </row>
    <row r="43" customFormat="false" ht="15" hidden="false" customHeight="true" outlineLevel="0" collapsed="false">
      <c r="A43" s="20" t="s">
        <v>528</v>
      </c>
      <c r="B43" s="36"/>
      <c r="C43" s="36"/>
      <c r="D43" s="21"/>
      <c r="E43" s="21"/>
      <c r="G43" s="21"/>
      <c r="H43" s="21"/>
      <c r="I43" s="21"/>
      <c r="J43" s="21"/>
      <c r="K43" s="21"/>
    </row>
    <row r="44" customFormat="false" ht="15" hidden="false" customHeight="true" outlineLevel="0" collapsed="false">
      <c r="A44" s="24"/>
      <c r="B44" s="29"/>
      <c r="C44" s="29"/>
      <c r="D44" s="24"/>
      <c r="E44" s="24"/>
      <c r="G44" s="24"/>
      <c r="H44" s="24"/>
      <c r="I44" s="24"/>
      <c r="J44" s="24"/>
      <c r="K44" s="24"/>
    </row>
    <row r="45" customFormat="false" ht="23.25" hidden="false" customHeight="true" outlineLevel="0" collapsed="false">
      <c r="A45" s="24" t="s">
        <v>529</v>
      </c>
      <c r="B45" s="24" t="s">
        <v>368</v>
      </c>
      <c r="C45" s="32" t="s">
        <v>530</v>
      </c>
      <c r="D45" s="24" t="s">
        <v>531</v>
      </c>
      <c r="E45" s="24" t="s">
        <v>532</v>
      </c>
      <c r="F45" s="32" t="s">
        <v>533</v>
      </c>
      <c r="G45" s="24" t="n">
        <v>46.71</v>
      </c>
      <c r="H45" s="24" t="n">
        <v>1536</v>
      </c>
      <c r="I45" s="24" t="s">
        <v>534</v>
      </c>
      <c r="J45" s="24" t="s">
        <v>535</v>
      </c>
      <c r="K45" s="24"/>
    </row>
    <row r="46" customFormat="false" ht="23.25" hidden="false" customHeight="true" outlineLevel="0" collapsed="false">
      <c r="A46" s="24" t="s">
        <v>536</v>
      </c>
      <c r="B46" s="24" t="s">
        <v>368</v>
      </c>
      <c r="C46" s="32" t="s">
        <v>537</v>
      </c>
      <c r="D46" s="24" t="s">
        <v>531</v>
      </c>
      <c r="E46" s="24" t="s">
        <v>538</v>
      </c>
      <c r="F46" s="32" t="s">
        <v>533</v>
      </c>
      <c r="G46" s="24" t="n">
        <v>180.4</v>
      </c>
      <c r="H46" s="24" t="n">
        <v>9600</v>
      </c>
      <c r="I46" s="24" t="s">
        <v>534</v>
      </c>
      <c r="J46" s="24" t="s">
        <v>489</v>
      </c>
      <c r="K46" s="24" t="s">
        <v>539</v>
      </c>
    </row>
    <row r="47" customFormat="false" ht="23.25" hidden="false" customHeight="true" outlineLevel="0" collapsed="false">
      <c r="A47" s="24" t="s">
        <v>540</v>
      </c>
      <c r="B47" s="24" t="s">
        <v>368</v>
      </c>
      <c r="C47" s="32" t="s">
        <v>541</v>
      </c>
      <c r="D47" s="24" t="s">
        <v>542</v>
      </c>
      <c r="E47" s="24"/>
      <c r="F47" s="32" t="s">
        <v>533</v>
      </c>
      <c r="G47" s="24" t="n">
        <v>180.4</v>
      </c>
      <c r="H47" s="24" t="n">
        <v>9600</v>
      </c>
      <c r="I47" s="24" t="s">
        <v>534</v>
      </c>
      <c r="J47" s="24"/>
      <c r="K47" s="24" t="s">
        <v>543</v>
      </c>
    </row>
    <row r="48" customFormat="false" ht="23.25" hidden="false" customHeight="true" outlineLevel="0" collapsed="false">
      <c r="A48" s="24" t="s">
        <v>544</v>
      </c>
      <c r="B48" s="24" t="s">
        <v>368</v>
      </c>
      <c r="C48" s="24" t="s">
        <v>545</v>
      </c>
      <c r="D48" s="24" t="s">
        <v>546</v>
      </c>
      <c r="E48" s="24" t="s">
        <v>547</v>
      </c>
      <c r="F48" s="24"/>
      <c r="G48" s="28" t="n">
        <v>44.89</v>
      </c>
      <c r="H48" s="24" t="n">
        <v>250</v>
      </c>
      <c r="I48" s="24" t="s">
        <v>548</v>
      </c>
      <c r="J48" s="24" t="s">
        <v>549</v>
      </c>
      <c r="K48" s="24" t="s">
        <v>550</v>
      </c>
    </row>
    <row r="49" customFormat="false" ht="23.25" hidden="false" customHeight="true" outlineLevel="0" collapsed="false">
      <c r="A49" s="24" t="s">
        <v>551</v>
      </c>
      <c r="B49" s="24"/>
      <c r="C49" s="24" t="s">
        <v>552</v>
      </c>
      <c r="D49" s="24" t="s">
        <v>546</v>
      </c>
      <c r="E49" s="24"/>
      <c r="F49" s="24"/>
      <c r="G49" s="28" t="n">
        <v>44.89</v>
      </c>
      <c r="H49" s="24" t="n">
        <v>250</v>
      </c>
      <c r="I49" s="24" t="s">
        <v>548</v>
      </c>
      <c r="J49" s="24" t="s">
        <v>549</v>
      </c>
      <c r="K49" s="24" t="s">
        <v>550</v>
      </c>
    </row>
    <row r="50" customFormat="false" ht="15" hidden="false" customHeight="true" outlineLevel="0" collapsed="false">
      <c r="A50" s="24" t="s">
        <v>553</v>
      </c>
      <c r="B50" s="24"/>
      <c r="C50" s="24" t="s">
        <v>554</v>
      </c>
      <c r="D50" s="24" t="s">
        <v>342</v>
      </c>
      <c r="E50" s="24" t="n">
        <v>352097</v>
      </c>
      <c r="F50" s="24"/>
      <c r="G50" s="28" t="n">
        <v>11.11</v>
      </c>
      <c r="H50" s="24" t="n">
        <v>50</v>
      </c>
      <c r="I50" s="24" t="s">
        <v>548</v>
      </c>
      <c r="J50" s="24"/>
      <c r="K50" s="24"/>
    </row>
    <row r="51" customFormat="false" ht="27" hidden="false" customHeight="true" outlineLevel="0" collapsed="false">
      <c r="A51" s="24" t="s">
        <v>555</v>
      </c>
      <c r="B51" s="24"/>
      <c r="C51" s="24" t="s">
        <v>556</v>
      </c>
      <c r="D51" s="24" t="s">
        <v>342</v>
      </c>
      <c r="E51" s="24" t="n">
        <v>352070</v>
      </c>
      <c r="F51" s="24"/>
      <c r="G51" s="28" t="n">
        <v>6.1</v>
      </c>
      <c r="H51" s="24" t="n">
        <v>25</v>
      </c>
      <c r="I51" s="24" t="s">
        <v>548</v>
      </c>
      <c r="J51" s="24"/>
      <c r="K51" s="24"/>
    </row>
    <row r="52" customFormat="false" ht="32.25" hidden="false" customHeight="true" outlineLevel="0" collapsed="false">
      <c r="A52" s="24" t="s">
        <v>557</v>
      </c>
      <c r="B52" s="24" t="s">
        <v>368</v>
      </c>
      <c r="C52" s="32" t="s">
        <v>558</v>
      </c>
      <c r="D52" s="24" t="s">
        <v>559</v>
      </c>
      <c r="E52" s="24" t="s">
        <v>560</v>
      </c>
      <c r="F52" s="32" t="s">
        <v>561</v>
      </c>
      <c r="G52" s="24" t="n">
        <v>97.55</v>
      </c>
      <c r="H52" s="24" t="n">
        <v>125</v>
      </c>
      <c r="I52" s="24" t="s">
        <v>562</v>
      </c>
      <c r="J52" s="24" t="s">
        <v>489</v>
      </c>
      <c r="K52" s="24"/>
    </row>
    <row r="53" customFormat="false" ht="23.25" hidden="false" customHeight="true" outlineLevel="0" collapsed="false">
      <c r="A53" s="24" t="s">
        <v>563</v>
      </c>
      <c r="B53" s="29" t="s">
        <v>474</v>
      </c>
      <c r="C53" s="29" t="s">
        <v>564</v>
      </c>
      <c r="D53" s="24" t="s">
        <v>493</v>
      </c>
      <c r="E53" s="24" t="s">
        <v>565</v>
      </c>
      <c r="F53" s="29"/>
      <c r="G53" s="31" t="n">
        <v>5107</v>
      </c>
      <c r="H53" s="24" t="n">
        <v>200</v>
      </c>
      <c r="I53" s="24" t="s">
        <v>566</v>
      </c>
      <c r="J53" s="24"/>
      <c r="K53" s="24" t="s">
        <v>567</v>
      </c>
    </row>
    <row r="54" customFormat="false" ht="15" hidden="false" customHeight="true" outlineLevel="0" collapsed="false">
      <c r="A54" s="24" t="s">
        <v>568</v>
      </c>
      <c r="B54" s="29" t="s">
        <v>474</v>
      </c>
      <c r="C54" s="29" t="s">
        <v>569</v>
      </c>
      <c r="D54" s="24" t="s">
        <v>570</v>
      </c>
      <c r="E54" s="24"/>
      <c r="F54" s="29"/>
      <c r="G54" s="31" t="n">
        <v>195</v>
      </c>
      <c r="H54" s="24" t="n">
        <v>50</v>
      </c>
      <c r="I54" s="24" t="s">
        <v>571</v>
      </c>
      <c r="J54" s="24"/>
      <c r="K54" s="24" t="s">
        <v>572</v>
      </c>
    </row>
    <row r="55" customFormat="false" ht="14.25" hidden="false" customHeight="true" outlineLevel="0" collapsed="false">
      <c r="A55" s="24" t="s">
        <v>573</v>
      </c>
      <c r="B55" s="25" t="s">
        <v>334</v>
      </c>
      <c r="C55" s="26" t="s">
        <v>574</v>
      </c>
      <c r="D55" s="24" t="s">
        <v>575</v>
      </c>
      <c r="E55" s="24" t="s">
        <v>576</v>
      </c>
      <c r="G55" s="24" t="n">
        <v>114</v>
      </c>
      <c r="H55" s="24" t="n">
        <v>50</v>
      </c>
      <c r="I55" s="24" t="s">
        <v>571</v>
      </c>
      <c r="J55" s="24" t="s">
        <v>577</v>
      </c>
      <c r="K55" s="24" t="s">
        <v>578</v>
      </c>
    </row>
    <row r="56" customFormat="false" ht="292.5" hidden="false" customHeight="true" outlineLevel="0" collapsed="false">
      <c r="A56" s="24" t="s">
        <v>579</v>
      </c>
      <c r="B56" s="24" t="s">
        <v>368</v>
      </c>
      <c r="C56" s="32" t="s">
        <v>580</v>
      </c>
      <c r="D56" s="24" t="s">
        <v>581</v>
      </c>
      <c r="E56" s="24" t="s">
        <v>582</v>
      </c>
      <c r="F56" s="24" t="s">
        <v>372</v>
      </c>
      <c r="G56" s="28" t="n">
        <v>135</v>
      </c>
      <c r="H56" s="24" t="n">
        <v>500</v>
      </c>
      <c r="I56" s="24" t="s">
        <v>548</v>
      </c>
      <c r="J56" s="24"/>
      <c r="K56" s="24" t="s">
        <v>583</v>
      </c>
    </row>
    <row r="57" customFormat="false" ht="14.25" hidden="false" customHeight="true" outlineLevel="0" collapsed="false">
      <c r="A57" s="24" t="s">
        <v>584</v>
      </c>
      <c r="C57" s="37" t="s">
        <v>585</v>
      </c>
      <c r="D57" s="24" t="s">
        <v>586</v>
      </c>
      <c r="E57" s="27" t="s">
        <v>587</v>
      </c>
      <c r="F57" s="1" t="s">
        <v>588</v>
      </c>
      <c r="G57" s="28" t="n">
        <v>19.16</v>
      </c>
      <c r="H57" s="24" t="n">
        <v>12</v>
      </c>
    </row>
    <row r="58" customFormat="false" ht="135.75" hidden="false" customHeight="true" outlineLevel="0" collapsed="false">
      <c r="A58" s="24" t="s">
        <v>589</v>
      </c>
      <c r="B58" s="25" t="s">
        <v>590</v>
      </c>
      <c r="C58" s="26" t="s">
        <v>591</v>
      </c>
      <c r="D58" s="24" t="s">
        <v>592</v>
      </c>
      <c r="E58" s="27" t="s">
        <v>593</v>
      </c>
      <c r="F58" s="1" t="s">
        <v>594</v>
      </c>
      <c r="G58" s="24"/>
      <c r="H58" s="24" t="n">
        <v>1</v>
      </c>
      <c r="I58" s="24" t="s">
        <v>379</v>
      </c>
      <c r="J58" s="24"/>
      <c r="K58" s="24" t="s">
        <v>594</v>
      </c>
    </row>
    <row r="59" customFormat="false" ht="90.75" hidden="false" customHeight="true" outlineLevel="0" collapsed="false">
      <c r="A59" s="24" t="s">
        <v>595</v>
      </c>
      <c r="B59" s="25" t="s">
        <v>590</v>
      </c>
      <c r="C59" s="26" t="s">
        <v>596</v>
      </c>
      <c r="D59" s="24" t="s">
        <v>597</v>
      </c>
      <c r="E59" s="27" t="s">
        <v>598</v>
      </c>
      <c r="F59" s="1" t="s">
        <v>599</v>
      </c>
      <c r="G59" s="24"/>
      <c r="H59" s="24" t="n">
        <v>1</v>
      </c>
      <c r="I59" s="24" t="s">
        <v>373</v>
      </c>
      <c r="J59" s="24"/>
      <c r="K59" s="24" t="s">
        <v>599</v>
      </c>
    </row>
    <row r="60" customFormat="false" ht="90.75" hidden="false" customHeight="true" outlineLevel="0" collapsed="false">
      <c r="A60" s="24" t="s">
        <v>600</v>
      </c>
      <c r="B60" s="25" t="s">
        <v>590</v>
      </c>
      <c r="C60" s="26" t="s">
        <v>601</v>
      </c>
      <c r="D60" s="24" t="s">
        <v>416</v>
      </c>
      <c r="E60" s="27" t="s">
        <v>602</v>
      </c>
      <c r="F60" s="1" t="s">
        <v>603</v>
      </c>
      <c r="G60" s="24"/>
      <c r="H60" s="24" t="n">
        <v>1</v>
      </c>
      <c r="I60" s="24" t="s">
        <v>373</v>
      </c>
      <c r="J60" s="24"/>
      <c r="K60" s="24" t="s">
        <v>603</v>
      </c>
    </row>
    <row r="61" customFormat="false" ht="68.25" hidden="false" customHeight="true" outlineLevel="0" collapsed="false">
      <c r="A61" s="24" t="s">
        <v>604</v>
      </c>
      <c r="B61" s="25" t="s">
        <v>590</v>
      </c>
      <c r="C61" s="26" t="s">
        <v>605</v>
      </c>
      <c r="D61" s="24" t="s">
        <v>416</v>
      </c>
      <c r="E61" s="27" t="s">
        <v>606</v>
      </c>
      <c r="F61" s="1" t="s">
        <v>607</v>
      </c>
      <c r="G61" s="24"/>
      <c r="H61" s="24" t="n">
        <v>100</v>
      </c>
      <c r="I61" s="24" t="s">
        <v>608</v>
      </c>
      <c r="J61" s="24"/>
      <c r="K61" s="24" t="s">
        <v>607</v>
      </c>
    </row>
    <row r="62" customFormat="false" ht="79.5" hidden="false" customHeight="true" outlineLevel="0" collapsed="false">
      <c r="A62" s="24" t="s">
        <v>609</v>
      </c>
      <c r="B62" s="25" t="s">
        <v>590</v>
      </c>
      <c r="C62" s="26" t="s">
        <v>610</v>
      </c>
      <c r="D62" s="24" t="s">
        <v>611</v>
      </c>
      <c r="E62" s="27" t="s">
        <v>612</v>
      </c>
      <c r="F62" s="1" t="s">
        <v>613</v>
      </c>
      <c r="G62" s="24"/>
      <c r="H62" s="24" t="n">
        <v>1</v>
      </c>
      <c r="I62" s="24" t="s">
        <v>379</v>
      </c>
      <c r="J62" s="24"/>
      <c r="K62" s="24" t="s">
        <v>613</v>
      </c>
    </row>
    <row r="63" customFormat="false" ht="79.5" hidden="false" customHeight="true" outlineLevel="0" collapsed="false">
      <c r="A63" s="24" t="s">
        <v>614</v>
      </c>
      <c r="B63" s="25" t="s">
        <v>590</v>
      </c>
      <c r="C63" s="26" t="s">
        <v>615</v>
      </c>
      <c r="D63" s="24" t="s">
        <v>616</v>
      </c>
      <c r="E63" s="27" t="s">
        <v>617</v>
      </c>
      <c r="F63" s="1" t="s">
        <v>618</v>
      </c>
      <c r="G63" s="24"/>
      <c r="H63" s="24" t="n">
        <v>1</v>
      </c>
      <c r="I63" s="24" t="s">
        <v>337</v>
      </c>
      <c r="J63" s="24"/>
      <c r="K63" s="24" t="s">
        <v>618</v>
      </c>
    </row>
    <row r="64" customFormat="false" ht="135.75" hidden="false" customHeight="true" outlineLevel="0" collapsed="false">
      <c r="A64" s="24" t="s">
        <v>619</v>
      </c>
      <c r="B64" s="25" t="s">
        <v>590</v>
      </c>
      <c r="C64" s="26" t="s">
        <v>620</v>
      </c>
      <c r="D64" s="24" t="s">
        <v>621</v>
      </c>
      <c r="E64" s="27" t="s">
        <v>622</v>
      </c>
      <c r="F64" s="1" t="s">
        <v>623</v>
      </c>
      <c r="G64" s="24"/>
      <c r="H64" s="24" t="n">
        <v>1</v>
      </c>
      <c r="I64" s="24" t="s">
        <v>624</v>
      </c>
      <c r="J64" s="24"/>
      <c r="K64" s="24" t="s">
        <v>623</v>
      </c>
    </row>
    <row r="65" customFormat="false" ht="79.5" hidden="false" customHeight="true" outlineLevel="0" collapsed="false">
      <c r="A65" s="24" t="s">
        <v>625</v>
      </c>
      <c r="B65" s="25" t="s">
        <v>590</v>
      </c>
      <c r="C65" s="26" t="s">
        <v>626</v>
      </c>
      <c r="D65" s="24" t="s">
        <v>586</v>
      </c>
      <c r="E65" s="27" t="s">
        <v>587</v>
      </c>
      <c r="F65" s="1" t="s">
        <v>588</v>
      </c>
      <c r="G65" s="28" t="n">
        <v>19.16</v>
      </c>
      <c r="H65" s="24" t="n">
        <v>12</v>
      </c>
      <c r="I65" s="24" t="s">
        <v>627</v>
      </c>
      <c r="J65" s="24"/>
      <c r="K65" s="24" t="s">
        <v>588</v>
      </c>
    </row>
    <row r="66" customFormat="false" ht="79.5" hidden="false" customHeight="true" outlineLevel="0" collapsed="false">
      <c r="E66" s="38"/>
    </row>
    <row r="67" customFormat="false" ht="90.75" hidden="false" customHeight="true" outlineLevel="0" collapsed="false"/>
    <row r="68" customFormat="false" ht="90.75" hidden="false" customHeight="true" outlineLevel="0" collapsed="false"/>
    <row r="69" customFormat="false" ht="90.75" hidden="false" customHeight="true" outlineLevel="0" collapsed="false"/>
    <row r="70" customFormat="false" ht="68.25" hidden="false" customHeight="true" outlineLevel="0" collapsed="false"/>
    <row r="71" customFormat="false" ht="90.75" hidden="false" customHeight="true" outlineLevel="0" collapsed="false"/>
    <row r="72" customFormat="false" ht="90.75" hidden="false" customHeight="true" outlineLevel="0" collapsed="false"/>
    <row r="73" customFormat="false" ht="90.75" hidden="false" customHeight="true" outlineLevel="0" collapsed="false"/>
    <row r="74" customFormat="false" ht="135.75" hidden="false" customHeight="true" outlineLevel="0" collapsed="false"/>
    <row r="75" customFormat="false" ht="90.75" hidden="false" customHeight="true" outlineLevel="0" collapsed="false"/>
    <row r="76" customFormat="false" ht="79.5" hidden="false" customHeight="true" outlineLevel="0" collapsed="false"/>
    <row r="77" customFormat="false" ht="57" hidden="false" customHeight="true" outlineLevel="0" collapsed="false"/>
    <row r="78" customFormat="false" ht="68.25" hidden="false" customHeight="true" outlineLevel="0" collapsed="false"/>
    <row r="79" customFormat="false" ht="102" hidden="false" customHeight="true" outlineLevel="0" collapsed="false"/>
    <row r="80" customFormat="false" ht="57" hidden="false" customHeight="true" outlineLevel="0" collapsed="false"/>
    <row r="81" customFormat="false" ht="68.25" hidden="false" customHeight="true" outlineLevel="0" collapsed="false"/>
    <row r="82" customFormat="false" ht="113.25" hidden="false" customHeight="true" outlineLevel="0" collapsed="false"/>
  </sheetData>
  <hyperlinks>
    <hyperlink ref="E31" r:id="rId1" display="0332-25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CE4E1"/>
    <pageSetUpPr fitToPage="false"/>
  </sheetPr>
  <dimension ref="A1:O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1" activeCellId="0" sqref="O11"/>
    </sheetView>
  </sheetViews>
  <sheetFormatPr defaultColWidth="8.73046875" defaultRowHeight="14.25" zeroHeight="false" outlineLevelRow="0" outlineLevelCol="0"/>
  <cols>
    <col collapsed="false" customWidth="true" hidden="false" outlineLevel="0" max="2" min="2" style="1" width="15.82"/>
    <col collapsed="false" customWidth="true" hidden="false" outlineLevel="0" max="7" min="7" style="1" width="15.09"/>
  </cols>
  <sheetData>
    <row r="1" customFormat="false" ht="15" hidden="false" customHeight="true" outlineLevel="0" collapsed="false">
      <c r="A1" s="39" t="s">
        <v>628</v>
      </c>
      <c r="B1" s="40"/>
      <c r="C1" s="41"/>
      <c r="D1" s="41"/>
      <c r="E1" s="42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customFormat="false" ht="77.25" hidden="false" customHeight="true" outlineLevel="0" collapsed="false">
      <c r="A2" s="43" t="s">
        <v>629</v>
      </c>
      <c r="B2" s="44" t="s">
        <v>630</v>
      </c>
      <c r="C2" s="43" t="s">
        <v>631</v>
      </c>
      <c r="D2" s="43" t="s">
        <v>632</v>
      </c>
      <c r="E2" s="43" t="s">
        <v>633</v>
      </c>
      <c r="F2" s="43" t="s">
        <v>634</v>
      </c>
      <c r="G2" s="43" t="s">
        <v>635</v>
      </c>
      <c r="H2" s="43" t="s">
        <v>636</v>
      </c>
      <c r="I2" s="43" t="s">
        <v>637</v>
      </c>
      <c r="J2" s="45" t="s">
        <v>638</v>
      </c>
      <c r="K2" s="45" t="s">
        <v>639</v>
      </c>
      <c r="L2" s="46" t="s">
        <v>640</v>
      </c>
      <c r="M2" s="46" t="s">
        <v>641</v>
      </c>
      <c r="N2" s="47" t="s">
        <v>642</v>
      </c>
      <c r="O2" s="47" t="s">
        <v>643</v>
      </c>
    </row>
    <row r="3" customFormat="false" ht="15" hidden="false" customHeight="true" outlineLevel="0" collapsed="false">
      <c r="A3" s="48" t="n">
        <v>1</v>
      </c>
      <c r="B3" s="49" t="n">
        <v>1006</v>
      </c>
      <c r="C3" s="48" t="s">
        <v>644</v>
      </c>
      <c r="D3" s="50" t="s">
        <v>645</v>
      </c>
      <c r="E3" s="51" t="n">
        <v>1</v>
      </c>
      <c r="F3" s="52" t="n">
        <v>0.9</v>
      </c>
      <c r="G3" s="53" t="n">
        <v>1370000</v>
      </c>
      <c r="H3" s="48" t="n">
        <v>2.3</v>
      </c>
      <c r="I3" s="54" t="n">
        <v>3150000</v>
      </c>
      <c r="J3" s="54" t="n">
        <v>1500000</v>
      </c>
      <c r="K3" s="55" t="n">
        <v>1094.89</v>
      </c>
      <c r="L3" s="48"/>
      <c r="M3" s="55"/>
      <c r="N3" s="54" t="n">
        <v>500000</v>
      </c>
      <c r="O3" s="48" t="n">
        <v>364.96</v>
      </c>
    </row>
    <row r="4" customFormat="false" ht="15" hidden="false" customHeight="true" outlineLevel="0" collapsed="false">
      <c r="A4" s="48"/>
      <c r="B4" s="49"/>
      <c r="C4" s="48"/>
      <c r="D4" s="50"/>
      <c r="E4" s="51"/>
      <c r="F4" s="56"/>
      <c r="G4" s="56"/>
      <c r="H4" s="48"/>
      <c r="I4" s="48"/>
      <c r="J4" s="48"/>
      <c r="K4" s="55"/>
      <c r="L4" s="48"/>
      <c r="M4" s="55"/>
      <c r="N4" s="48"/>
      <c r="O4" s="48"/>
    </row>
    <row r="5" customFormat="false" ht="15" hidden="false" customHeight="true" outlineLevel="0" collapsed="false">
      <c r="A5" s="57"/>
      <c r="B5" s="58"/>
      <c r="C5" s="57"/>
      <c r="D5" s="59"/>
      <c r="E5" s="60"/>
      <c r="F5" s="61"/>
      <c r="G5" s="61"/>
      <c r="H5" s="57"/>
      <c r="I5" s="57"/>
      <c r="J5" s="57"/>
      <c r="K5" s="62"/>
      <c r="L5" s="63"/>
      <c r="M5" s="64"/>
      <c r="N5" s="57"/>
      <c r="O5" s="57"/>
    </row>
    <row r="6" customFormat="false" ht="15" hidden="false" customHeight="true" outlineLevel="0" collapsed="false">
      <c r="A6" s="48"/>
      <c r="B6" s="49"/>
      <c r="C6" s="48"/>
      <c r="D6" s="50"/>
      <c r="E6" s="51"/>
      <c r="F6" s="56"/>
      <c r="G6" s="56"/>
      <c r="H6" s="48"/>
      <c r="I6" s="48"/>
      <c r="J6" s="48"/>
      <c r="K6" s="55"/>
      <c r="L6" s="65"/>
      <c r="M6" s="66"/>
      <c r="N6" s="48"/>
      <c r="O6" s="48"/>
    </row>
    <row r="7" customFormat="false" ht="15" hidden="false" customHeight="true" outlineLevel="0" collapsed="false">
      <c r="A7" s="48"/>
      <c r="B7" s="49"/>
      <c r="C7" s="48"/>
      <c r="D7" s="50"/>
      <c r="E7" s="51"/>
      <c r="F7" s="56"/>
      <c r="G7" s="56"/>
      <c r="H7" s="48"/>
      <c r="I7" s="48"/>
      <c r="J7" s="48"/>
      <c r="K7" s="55"/>
      <c r="L7" s="48"/>
      <c r="M7" s="55"/>
      <c r="N7" s="48"/>
      <c r="O7" s="48"/>
    </row>
    <row r="8" customFormat="false" ht="15" hidden="false" customHeight="true" outlineLevel="0" collapsed="false">
      <c r="A8" s="48"/>
      <c r="B8" s="49"/>
      <c r="C8" s="48"/>
      <c r="D8" s="50"/>
      <c r="E8" s="51"/>
      <c r="F8" s="56"/>
      <c r="G8" s="56"/>
      <c r="H8" s="48"/>
      <c r="I8" s="48"/>
      <c r="J8" s="48"/>
      <c r="K8" s="55"/>
      <c r="L8" s="65"/>
      <c r="M8" s="66"/>
      <c r="N8" s="48"/>
      <c r="O8" s="48"/>
    </row>
    <row r="9" customFormat="false" ht="15" hidden="false" customHeight="true" outlineLevel="0" collapsed="false">
      <c r="A9" s="48"/>
      <c r="B9" s="49"/>
      <c r="C9" s="48"/>
      <c r="D9" s="50"/>
      <c r="E9" s="51"/>
      <c r="F9" s="56"/>
      <c r="G9" s="56"/>
      <c r="H9" s="48"/>
      <c r="I9" s="48"/>
      <c r="J9" s="48"/>
      <c r="K9" s="55"/>
      <c r="L9" s="48"/>
      <c r="M9" s="55"/>
      <c r="N9" s="48"/>
      <c r="O9" s="48"/>
    </row>
    <row r="10" customFormat="false" ht="15" hidden="false" customHeight="true" outlineLevel="0" collapsed="false">
      <c r="A10" s="48"/>
      <c r="B10" s="49"/>
      <c r="C10" s="48"/>
      <c r="D10" s="50"/>
      <c r="E10" s="51"/>
      <c r="F10" s="56"/>
      <c r="G10" s="56"/>
      <c r="H10" s="48"/>
      <c r="I10" s="48"/>
      <c r="J10" s="48"/>
      <c r="K10" s="55"/>
      <c r="L10" s="65"/>
      <c r="M10" s="66"/>
      <c r="N10" s="48"/>
      <c r="O10" s="48"/>
    </row>
    <row r="11" customFormat="false" ht="15" hidden="false" customHeight="true" outlineLevel="0" collapsed="false">
      <c r="A11" s="48"/>
      <c r="B11" s="49"/>
      <c r="C11" s="48"/>
      <c r="D11" s="50"/>
      <c r="E11" s="51"/>
      <c r="F11" s="56"/>
      <c r="G11" s="56"/>
      <c r="H11" s="48"/>
      <c r="I11" s="48"/>
      <c r="J11" s="48"/>
      <c r="K11" s="55"/>
      <c r="L11" s="65"/>
      <c r="M11" s="66"/>
      <c r="N11" s="48"/>
      <c r="O11" s="48"/>
    </row>
    <row r="12" customFormat="false" ht="15" hidden="false" customHeight="true" outlineLevel="0" collapsed="false">
      <c r="A12" s="48"/>
      <c r="B12" s="49"/>
      <c r="C12" s="48"/>
      <c r="D12" s="50"/>
      <c r="E12" s="51"/>
      <c r="F12" s="56"/>
      <c r="G12" s="56"/>
      <c r="H12" s="48"/>
      <c r="I12" s="48"/>
      <c r="J12" s="48"/>
      <c r="K12" s="55"/>
      <c r="L12" s="48"/>
      <c r="M12" s="55"/>
      <c r="N12" s="48"/>
      <c r="O12" s="48"/>
    </row>
    <row r="13" customFormat="false" ht="15" hidden="false" customHeight="true" outlineLevel="0" collapsed="false">
      <c r="A13" s="48"/>
      <c r="B13" s="49"/>
      <c r="C13" s="48"/>
      <c r="D13" s="50"/>
      <c r="E13" s="51"/>
      <c r="F13" s="56"/>
      <c r="G13" s="56"/>
      <c r="H13" s="48"/>
      <c r="I13" s="48"/>
      <c r="J13" s="48"/>
      <c r="K13" s="55"/>
      <c r="L13" s="48"/>
      <c r="M13" s="55"/>
      <c r="N13" s="48"/>
      <c r="O13" s="48"/>
    </row>
    <row r="14" customFormat="false" ht="15" hidden="false" customHeight="true" outlineLevel="0" collapsed="false">
      <c r="A14" s="48"/>
      <c r="B14" s="49"/>
      <c r="C14" s="48"/>
      <c r="D14" s="50"/>
      <c r="E14" s="51"/>
      <c r="F14" s="56"/>
      <c r="G14" s="56"/>
      <c r="H14" s="48"/>
      <c r="I14" s="48"/>
      <c r="J14" s="48"/>
      <c r="K14" s="55"/>
      <c r="L14" s="65"/>
      <c r="M14" s="66"/>
      <c r="N14" s="48"/>
      <c r="O14" s="48"/>
    </row>
    <row r="15" customFormat="false" ht="15" hidden="false" customHeight="true" outlineLevel="0" collapsed="false">
      <c r="A15" s="48"/>
      <c r="B15" s="49"/>
      <c r="C15" s="48"/>
      <c r="D15" s="50"/>
      <c r="E15" s="67"/>
      <c r="F15" s="68"/>
      <c r="G15" s="68"/>
      <c r="H15" s="48"/>
      <c r="I15" s="48"/>
      <c r="J15" s="48"/>
      <c r="K15" s="55"/>
      <c r="L15" s="69"/>
      <c r="M15" s="70"/>
      <c r="N15" s="48"/>
      <c r="O15" s="48"/>
    </row>
    <row r="16" customFormat="false" ht="15" hidden="false" customHeight="true" outlineLevel="0" collapsed="false">
      <c r="A16" s="48"/>
      <c r="B16" s="49"/>
      <c r="C16" s="71"/>
      <c r="D16" s="50"/>
      <c r="E16" s="72"/>
      <c r="F16" s="56"/>
      <c r="G16" s="56"/>
      <c r="H16" s="48"/>
      <c r="I16" s="48"/>
      <c r="J16" s="48"/>
      <c r="K16" s="55"/>
      <c r="L16" s="73"/>
      <c r="M16" s="73"/>
      <c r="N16" s="48"/>
      <c r="O16" s="48"/>
    </row>
    <row r="17" customFormat="false" ht="15" hidden="false" customHeight="true" outlineLevel="0" collapsed="false">
      <c r="A17" s="48"/>
      <c r="B17" s="49"/>
      <c r="C17" s="71"/>
      <c r="D17" s="50"/>
      <c r="E17" s="72"/>
      <c r="F17" s="56"/>
      <c r="G17" s="56"/>
      <c r="H17" s="48"/>
      <c r="I17" s="48"/>
      <c r="J17" s="48"/>
      <c r="K17" s="55"/>
      <c r="L17" s="73"/>
      <c r="M17" s="73"/>
      <c r="N17" s="48"/>
      <c r="O17" s="48"/>
    </row>
    <row r="18" customFormat="false" ht="15" hidden="false" customHeight="true" outlineLevel="0" collapsed="false">
      <c r="A18" s="48"/>
      <c r="B18" s="49"/>
      <c r="C18" s="71"/>
      <c r="D18" s="50"/>
      <c r="E18" s="72"/>
      <c r="F18" s="56"/>
      <c r="G18" s="56"/>
      <c r="H18" s="48"/>
      <c r="I18" s="48"/>
      <c r="J18" s="48"/>
      <c r="K18" s="55"/>
      <c r="L18" s="73"/>
      <c r="M18" s="73"/>
      <c r="N18" s="48"/>
      <c r="O18" s="48"/>
    </row>
    <row r="19" customFormat="false" ht="15" hidden="false" customHeight="true" outlineLevel="0" collapsed="false">
      <c r="A19" s="48"/>
      <c r="B19" s="49"/>
      <c r="C19" s="71"/>
      <c r="D19" s="50"/>
      <c r="E19" s="72"/>
      <c r="F19" s="56"/>
      <c r="G19" s="56"/>
      <c r="H19" s="48"/>
      <c r="I19" s="48"/>
      <c r="J19" s="48"/>
      <c r="K19" s="55"/>
      <c r="L19" s="73"/>
      <c r="M19" s="73"/>
      <c r="N19" s="48"/>
      <c r="O19" s="48"/>
    </row>
    <row r="20" customFormat="false" ht="15" hidden="false" customHeight="true" outlineLevel="0" collapsed="false">
      <c r="A20" s="48"/>
      <c r="B20" s="49"/>
      <c r="C20" s="71"/>
      <c r="D20" s="50"/>
      <c r="E20" s="72"/>
      <c r="F20" s="56"/>
      <c r="G20" s="56"/>
      <c r="H20" s="48"/>
      <c r="I20" s="48"/>
      <c r="J20" s="48"/>
      <c r="K20" s="55"/>
      <c r="L20" s="73"/>
      <c r="M20" s="73"/>
      <c r="N20" s="48"/>
      <c r="O20" s="48"/>
    </row>
    <row r="21" customFormat="false" ht="15" hidden="false" customHeight="true" outlineLevel="0" collapsed="false">
      <c r="A21" s="48"/>
      <c r="B21" s="49"/>
      <c r="C21" s="71"/>
      <c r="D21" s="50"/>
      <c r="E21" s="72"/>
      <c r="F21" s="56"/>
      <c r="G21" s="56"/>
      <c r="H21" s="48"/>
      <c r="I21" s="48"/>
      <c r="J21" s="48"/>
      <c r="K21" s="55"/>
      <c r="L21" s="73"/>
      <c r="M21" s="73"/>
      <c r="N21" s="48"/>
      <c r="O21" s="48"/>
    </row>
    <row r="22" customFormat="false" ht="15" hidden="false" customHeight="true" outlineLevel="0" collapsed="false">
      <c r="A22" s="48"/>
      <c r="B22" s="49"/>
      <c r="C22" s="71"/>
      <c r="D22" s="71"/>
      <c r="E22" s="51"/>
      <c r="F22" s="56"/>
      <c r="G22" s="56"/>
      <c r="H22" s="48"/>
      <c r="I22" s="48"/>
      <c r="J22" s="48"/>
      <c r="K22" s="55"/>
      <c r="L22" s="73"/>
      <c r="M22" s="73"/>
      <c r="N22" s="48"/>
      <c r="O22" s="4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CE4E1"/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8" activeCellId="0" sqref="D8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32"/>
    <col collapsed="false" customWidth="true" hidden="false" outlineLevel="0" max="6" min="6" style="1" width="30"/>
    <col collapsed="false" customWidth="true" hidden="false" outlineLevel="0" max="7" min="7" style="1" width="40"/>
  </cols>
  <sheetData>
    <row r="1" customFormat="false" ht="15.75" hidden="false" customHeight="true" outlineLevel="0" collapsed="false">
      <c r="A1" s="16" t="s">
        <v>82</v>
      </c>
    </row>
    <row r="2" customFormat="false" ht="15" hidden="false" customHeight="true" outlineLevel="0" collapsed="false">
      <c r="A2" s="10" t="s">
        <v>646</v>
      </c>
    </row>
    <row r="4" customFormat="false" ht="31.5" hidden="false" customHeight="true" outlineLevel="0" collapsed="false">
      <c r="A4" s="11" t="s">
        <v>647</v>
      </c>
      <c r="B4" s="11" t="s">
        <v>648</v>
      </c>
      <c r="C4" s="11" t="s">
        <v>117</v>
      </c>
      <c r="D4" s="11" t="s">
        <v>649</v>
      </c>
      <c r="E4" s="11" t="s">
        <v>650</v>
      </c>
      <c r="F4" s="11" t="s">
        <v>651</v>
      </c>
      <c r="G4" s="11" t="s">
        <v>126</v>
      </c>
    </row>
    <row r="5" customFormat="false" ht="15" hidden="false" customHeight="true" outlineLevel="0" collapsed="false">
      <c r="A5" s="12" t="s">
        <v>652</v>
      </c>
      <c r="B5" s="12" t="s">
        <v>653</v>
      </c>
      <c r="C5" s="12" t="s">
        <v>654</v>
      </c>
      <c r="D5" s="12"/>
      <c r="E5" s="12" t="s">
        <v>655</v>
      </c>
      <c r="F5" s="12" t="s">
        <v>656</v>
      </c>
      <c r="G5" s="12" t="s">
        <v>657</v>
      </c>
    </row>
    <row r="6" customFormat="false" ht="23.25" hidden="false" customHeight="true" outlineLevel="0" collapsed="false">
      <c r="A6" s="12" t="s">
        <v>658</v>
      </c>
      <c r="B6" s="12" t="s">
        <v>659</v>
      </c>
      <c r="C6" s="12" t="s">
        <v>654</v>
      </c>
      <c r="D6" s="12"/>
      <c r="E6" s="12" t="s">
        <v>660</v>
      </c>
      <c r="F6" s="12" t="s">
        <v>661</v>
      </c>
      <c r="G6" s="12" t="s">
        <v>662</v>
      </c>
    </row>
    <row r="7" customFormat="false" ht="23.25" hidden="false" customHeight="true" outlineLevel="0" collapsed="false">
      <c r="A7" s="12" t="s">
        <v>663</v>
      </c>
      <c r="B7" s="12" t="s">
        <v>664</v>
      </c>
      <c r="C7" s="12" t="s">
        <v>665</v>
      </c>
      <c r="D7" s="12"/>
      <c r="E7" s="12" t="s">
        <v>666</v>
      </c>
      <c r="F7" s="12" t="s">
        <v>667</v>
      </c>
      <c r="G7" s="12" t="s">
        <v>668</v>
      </c>
    </row>
    <row r="8" customFormat="false" ht="23.25" hidden="false" customHeight="true" outlineLevel="0" collapsed="false">
      <c r="A8" s="12" t="s">
        <v>669</v>
      </c>
      <c r="B8" s="12" t="s">
        <v>670</v>
      </c>
      <c r="C8" s="12" t="s">
        <v>671</v>
      </c>
      <c r="D8" s="12"/>
      <c r="E8" s="12" t="s">
        <v>672</v>
      </c>
      <c r="F8" s="12" t="s">
        <v>673</v>
      </c>
      <c r="G8" s="12" t="s">
        <v>674</v>
      </c>
    </row>
    <row r="9" customFormat="false" ht="23.25" hidden="false" customHeight="true" outlineLevel="0" collapsed="false">
      <c r="A9" s="12" t="s">
        <v>675</v>
      </c>
      <c r="B9" s="12" t="s">
        <v>676</v>
      </c>
      <c r="C9" s="12" t="s">
        <v>673</v>
      </c>
      <c r="D9" s="12"/>
      <c r="E9" s="12" t="s">
        <v>677</v>
      </c>
      <c r="F9" s="12" t="s">
        <v>673</v>
      </c>
      <c r="G9" s="12" t="s">
        <v>678</v>
      </c>
    </row>
    <row r="10" customFormat="false" ht="23.25" hidden="false" customHeight="true" outlineLevel="0" collapsed="false">
      <c r="A10" s="12" t="s">
        <v>679</v>
      </c>
      <c r="B10" s="12" t="s">
        <v>680</v>
      </c>
      <c r="C10" s="12" t="s">
        <v>673</v>
      </c>
      <c r="D10" s="12"/>
      <c r="E10" s="12" t="s">
        <v>673</v>
      </c>
      <c r="F10" s="12" t="s">
        <v>673</v>
      </c>
      <c r="G10" s="12" t="s">
        <v>681</v>
      </c>
    </row>
    <row r="11" customFormat="false" ht="23.25" hidden="false" customHeight="true" outlineLevel="0" collapsed="false">
      <c r="A11" s="12" t="s">
        <v>682</v>
      </c>
      <c r="B11" s="12" t="s">
        <v>683</v>
      </c>
      <c r="C11" s="12" t="s">
        <v>289</v>
      </c>
      <c r="D11" s="12"/>
      <c r="E11" s="12" t="s">
        <v>684</v>
      </c>
      <c r="F11" s="12" t="s">
        <v>685</v>
      </c>
      <c r="G11" s="12" t="s">
        <v>686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CE4E1"/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0" activeCellId="0" sqref="C10"/>
    </sheetView>
  </sheetViews>
  <sheetFormatPr defaultColWidth="8.54296875" defaultRowHeight="14.25" zeroHeight="false" outlineLevelRow="0" outlineLevelCol="0"/>
  <cols>
    <col collapsed="false" customWidth="true" hidden="false" outlineLevel="0" max="2" min="1" style="1" width="9"/>
    <col collapsed="false" customWidth="true" hidden="false" outlineLevel="0" max="4" min="3" style="1" width="26"/>
    <col collapsed="false" customWidth="true" hidden="false" outlineLevel="0" max="5" min="5" style="1" width="22"/>
    <col collapsed="false" customWidth="true" hidden="false" outlineLevel="0" max="6" min="6" style="1" width="18"/>
    <col collapsed="false" customWidth="true" hidden="false" outlineLevel="0" max="7" min="7" style="1" width="34"/>
    <col collapsed="false" customWidth="true" hidden="false" outlineLevel="0" max="8" min="8" style="1" width="42"/>
  </cols>
  <sheetData>
    <row r="1" customFormat="false" ht="15.75" hidden="false" customHeight="true" outlineLevel="0" collapsed="false">
      <c r="A1" s="16" t="s">
        <v>85</v>
      </c>
      <c r="B1" s="74"/>
    </row>
    <row r="2" customFormat="false" ht="15" hidden="false" customHeight="true" outlineLevel="0" collapsed="false">
      <c r="A2" s="10" t="s">
        <v>687</v>
      </c>
      <c r="B2" s="10"/>
    </row>
    <row r="4" customFormat="false" ht="31.5" hidden="false" customHeight="true" outlineLevel="0" collapsed="false">
      <c r="A4" s="11" t="s">
        <v>688</v>
      </c>
      <c r="B4" s="11" t="s">
        <v>689</v>
      </c>
      <c r="C4" s="11" t="s">
        <v>690</v>
      </c>
      <c r="D4" s="11" t="s">
        <v>691</v>
      </c>
      <c r="E4" s="11" t="s">
        <v>692</v>
      </c>
      <c r="F4" s="11" t="s">
        <v>693</v>
      </c>
      <c r="G4" s="11" t="s">
        <v>694</v>
      </c>
      <c r="H4" s="11" t="s">
        <v>126</v>
      </c>
    </row>
    <row r="5" customFormat="false" ht="23.25" hidden="false" customHeight="true" outlineLevel="0" collapsed="false">
      <c r="A5" s="12" t="s">
        <v>695</v>
      </c>
      <c r="B5" s="12" t="s">
        <v>696</v>
      </c>
      <c r="C5" s="12" t="s">
        <v>697</v>
      </c>
      <c r="D5" s="12" t="s">
        <v>698</v>
      </c>
      <c r="E5" s="12" t="s">
        <v>699</v>
      </c>
      <c r="F5" s="12"/>
      <c r="G5" s="12" t="s">
        <v>700</v>
      </c>
      <c r="H5" s="12" t="s">
        <v>701</v>
      </c>
    </row>
    <row r="6" customFormat="false" ht="23.25" hidden="false" customHeight="true" outlineLevel="0" collapsed="false">
      <c r="A6" s="12" t="s">
        <v>702</v>
      </c>
      <c r="B6" s="12" t="s">
        <v>703</v>
      </c>
      <c r="C6" s="12" t="s">
        <v>704</v>
      </c>
      <c r="D6" s="12" t="s">
        <v>705</v>
      </c>
      <c r="E6" s="12" t="s">
        <v>706</v>
      </c>
      <c r="F6" s="12"/>
      <c r="G6" s="12" t="s">
        <v>707</v>
      </c>
      <c r="H6" s="12" t="s">
        <v>708</v>
      </c>
    </row>
    <row r="7" customFormat="false" ht="23.25" hidden="false" customHeight="true" outlineLevel="0" collapsed="false">
      <c r="A7" s="12" t="s">
        <v>709</v>
      </c>
      <c r="B7" s="12" t="s">
        <v>710</v>
      </c>
      <c r="C7" s="12" t="s">
        <v>711</v>
      </c>
      <c r="D7" s="12" t="s">
        <v>712</v>
      </c>
      <c r="E7" s="12" t="s">
        <v>713</v>
      </c>
      <c r="F7" s="12"/>
      <c r="G7" s="12" t="s">
        <v>714</v>
      </c>
      <c r="H7" s="12" t="s">
        <v>715</v>
      </c>
    </row>
    <row r="8" customFormat="false" ht="23.25" hidden="false" customHeight="true" outlineLevel="0" collapsed="false">
      <c r="A8" s="12" t="s">
        <v>716</v>
      </c>
      <c r="B8" s="12" t="s">
        <v>334</v>
      </c>
      <c r="C8" s="12" t="s">
        <v>717</v>
      </c>
      <c r="D8" s="12" t="s">
        <v>718</v>
      </c>
      <c r="E8" s="12" t="s">
        <v>713</v>
      </c>
      <c r="F8" s="12"/>
      <c r="G8" s="12" t="s">
        <v>719</v>
      </c>
      <c r="H8" s="12" t="s">
        <v>720</v>
      </c>
    </row>
    <row r="9" customFormat="false" ht="23.25" hidden="false" customHeight="true" outlineLevel="0" collapsed="false">
      <c r="A9" s="12" t="s">
        <v>721</v>
      </c>
      <c r="B9" s="12" t="s">
        <v>722</v>
      </c>
      <c r="C9" s="12" t="s">
        <v>723</v>
      </c>
      <c r="D9" s="12" t="s">
        <v>724</v>
      </c>
      <c r="E9" s="12" t="s">
        <v>725</v>
      </c>
      <c r="F9" s="12"/>
      <c r="G9" s="12" t="s">
        <v>726</v>
      </c>
      <c r="H9" s="12" t="s">
        <v>727</v>
      </c>
    </row>
    <row r="10" customFormat="false" ht="23.25" hidden="false" customHeight="true" outlineLevel="0" collapsed="false">
      <c r="A10" s="12" t="s">
        <v>728</v>
      </c>
      <c r="B10" s="12" t="s">
        <v>729</v>
      </c>
      <c r="C10" s="12" t="s">
        <v>730</v>
      </c>
      <c r="D10" s="12" t="s">
        <v>731</v>
      </c>
      <c r="E10" s="12" t="s">
        <v>732</v>
      </c>
      <c r="F10" s="12"/>
      <c r="G10" s="12" t="s">
        <v>733</v>
      </c>
      <c r="H10" s="12" t="s">
        <v>734</v>
      </c>
    </row>
    <row r="11" customFormat="false" ht="23.25" hidden="false" customHeight="true" outlineLevel="0" collapsed="false">
      <c r="A11" s="12" t="s">
        <v>735</v>
      </c>
      <c r="B11" s="12" t="s">
        <v>736</v>
      </c>
      <c r="C11" s="12" t="s">
        <v>737</v>
      </c>
      <c r="D11" s="12"/>
      <c r="E11" s="12"/>
      <c r="F11" s="12"/>
      <c r="G11" s="12"/>
      <c r="H11" s="12"/>
    </row>
    <row r="12" customFormat="false" ht="23.25" hidden="false" customHeight="true" outlineLevel="0" collapsed="false">
      <c r="A12" s="12" t="s">
        <v>738</v>
      </c>
      <c r="B12" s="12" t="s">
        <v>739</v>
      </c>
      <c r="C12" s="12" t="s">
        <v>740</v>
      </c>
      <c r="D12" s="12" t="s">
        <v>741</v>
      </c>
      <c r="E12" s="12" t="s">
        <v>742</v>
      </c>
      <c r="F12" s="12"/>
      <c r="G12" s="12" t="s">
        <v>743</v>
      </c>
      <c r="H12" s="12" t="s">
        <v>744</v>
      </c>
    </row>
    <row r="13" customFormat="false" ht="23.25" hidden="false" customHeight="true" outlineLevel="0" collapsed="false">
      <c r="A13" s="12" t="s">
        <v>745</v>
      </c>
      <c r="B13" s="12" t="s">
        <v>746</v>
      </c>
      <c r="C13" s="12" t="s">
        <v>747</v>
      </c>
      <c r="D13" s="12"/>
      <c r="E13" s="12"/>
      <c r="F13" s="12"/>
      <c r="G13" s="12"/>
      <c r="H13" s="12"/>
    </row>
    <row r="14" customFormat="false" ht="23.25" hidden="false" customHeight="true" outlineLevel="0" collapsed="false">
      <c r="A14" s="12" t="s">
        <v>748</v>
      </c>
      <c r="B14" s="12" t="s">
        <v>749</v>
      </c>
      <c r="C14" s="12" t="s">
        <v>750</v>
      </c>
      <c r="D14" s="12"/>
      <c r="E14" s="12"/>
      <c r="F14" s="12"/>
      <c r="G14" s="12"/>
      <c r="H14" s="12"/>
    </row>
    <row r="15" customFormat="false" ht="23.25" hidden="false" customHeight="true" outlineLevel="0" collapsed="false">
      <c r="A15" s="12" t="s">
        <v>751</v>
      </c>
      <c r="B15" s="12" t="s">
        <v>752</v>
      </c>
      <c r="C15" s="12" t="s">
        <v>753</v>
      </c>
      <c r="D15" s="12"/>
      <c r="E15" s="12"/>
      <c r="F15" s="12"/>
      <c r="G15" s="12"/>
      <c r="H15" s="12"/>
    </row>
    <row r="16" customFormat="false" ht="23.25" hidden="false" customHeight="true" outlineLevel="0" collapsed="false">
      <c r="A16" s="12" t="s">
        <v>754</v>
      </c>
      <c r="B16" s="12" t="s">
        <v>263</v>
      </c>
      <c r="C16" s="12" t="s">
        <v>755</v>
      </c>
      <c r="D16" s="12"/>
      <c r="E16" s="12"/>
      <c r="F16" s="12"/>
      <c r="G16" s="12"/>
      <c r="H16" s="12"/>
    </row>
    <row r="17" customFormat="false" ht="23.25" hidden="false" customHeight="true" outlineLevel="0" collapsed="false">
      <c r="A17" s="12" t="s">
        <v>756</v>
      </c>
      <c r="B17" s="12" t="s">
        <v>757</v>
      </c>
      <c r="C17" s="12" t="s">
        <v>758</v>
      </c>
      <c r="D17" s="12" t="s">
        <v>759</v>
      </c>
      <c r="E17" s="12" t="s">
        <v>760</v>
      </c>
      <c r="F17" s="12"/>
      <c r="G17" s="12" t="s">
        <v>761</v>
      </c>
      <c r="H17" s="12" t="s">
        <v>762</v>
      </c>
    </row>
    <row r="18" customFormat="false" ht="15" hidden="false" customHeight="true" outlineLevel="0" collapsed="false">
      <c r="A18" s="12" t="s">
        <v>763</v>
      </c>
      <c r="B18" s="12" t="s">
        <v>764</v>
      </c>
      <c r="C18" s="12" t="s">
        <v>765</v>
      </c>
      <c r="D18" s="12" t="s">
        <v>766</v>
      </c>
      <c r="E18" s="12" t="s">
        <v>732</v>
      </c>
      <c r="F18" s="12"/>
      <c r="G18" s="12" t="s">
        <v>767</v>
      </c>
      <c r="H18" s="12" t="s">
        <v>768</v>
      </c>
    </row>
    <row r="19" customFormat="false" ht="23.25" hidden="false" customHeight="true" outlineLevel="0" collapsed="false">
      <c r="A19" s="12" t="s">
        <v>769</v>
      </c>
      <c r="B19" s="12" t="s">
        <v>770</v>
      </c>
      <c r="C19" s="12" t="s">
        <v>771</v>
      </c>
      <c r="D19" s="12" t="s">
        <v>772</v>
      </c>
      <c r="E19" s="12" t="s">
        <v>760</v>
      </c>
      <c r="F19" s="12"/>
      <c r="G19" s="12" t="s">
        <v>773</v>
      </c>
      <c r="H19" s="12" t="s">
        <v>774</v>
      </c>
    </row>
    <row r="20" customFormat="false" ht="23.25" hidden="false" customHeight="true" outlineLevel="0" collapsed="false">
      <c r="A20" s="12" t="s">
        <v>775</v>
      </c>
      <c r="B20" s="12"/>
      <c r="C20" s="12" t="s">
        <v>776</v>
      </c>
      <c r="D20" s="12" t="s">
        <v>777</v>
      </c>
      <c r="E20" s="12" t="s">
        <v>732</v>
      </c>
      <c r="F20" s="12"/>
      <c r="G20" s="12" t="s">
        <v>778</v>
      </c>
      <c r="H20" s="12" t="s">
        <v>779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CE4E1"/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9"/>
    <col collapsed="false" customWidth="true" hidden="false" outlineLevel="0" max="3" min="2" style="1" width="22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7" min="6" style="1" width="10"/>
    <col collapsed="false" customWidth="true" hidden="false" outlineLevel="0" max="8" min="8" style="1" width="45"/>
  </cols>
  <sheetData>
    <row r="1" customFormat="false" ht="15.75" hidden="false" customHeight="true" outlineLevel="0" collapsed="false">
      <c r="A1" s="16" t="s">
        <v>79</v>
      </c>
    </row>
    <row r="2" customFormat="false" ht="15" hidden="false" customHeight="true" outlineLevel="0" collapsed="false">
      <c r="A2" s="10" t="s">
        <v>780</v>
      </c>
    </row>
    <row r="4" customFormat="false" ht="31.5" hidden="false" customHeight="true" outlineLevel="0" collapsed="false">
      <c r="A4" s="11" t="s">
        <v>781</v>
      </c>
      <c r="B4" s="11" t="s">
        <v>782</v>
      </c>
      <c r="C4" s="11" t="s">
        <v>783</v>
      </c>
      <c r="D4" s="11" t="s">
        <v>123</v>
      </c>
      <c r="E4" s="11" t="s">
        <v>784</v>
      </c>
      <c r="F4" s="11" t="s">
        <v>785</v>
      </c>
      <c r="G4" s="11" t="s">
        <v>786</v>
      </c>
      <c r="H4" s="11" t="s">
        <v>126</v>
      </c>
    </row>
    <row r="5" customFormat="false" ht="15" hidden="false" customHeight="true" outlineLevel="0" collapsed="false">
      <c r="A5" s="12" t="s">
        <v>529</v>
      </c>
      <c r="B5" s="12" t="s">
        <v>787</v>
      </c>
      <c r="C5" s="12" t="s">
        <v>788</v>
      </c>
      <c r="D5" s="12" t="n">
        <v>1800</v>
      </c>
      <c r="E5" s="12" t="n">
        <v>1</v>
      </c>
      <c r="F5" s="12" t="s">
        <v>789</v>
      </c>
      <c r="G5" s="12" t="n">
        <v>88</v>
      </c>
      <c r="H5" s="12" t="s">
        <v>790</v>
      </c>
    </row>
    <row r="6" customFormat="false" ht="15" hidden="false" customHeight="true" outlineLevel="0" collapsed="false">
      <c r="A6" s="12" t="s">
        <v>536</v>
      </c>
      <c r="B6" s="12" t="s">
        <v>787</v>
      </c>
      <c r="C6" s="12" t="s">
        <v>791</v>
      </c>
      <c r="D6" s="12" t="n">
        <v>2160</v>
      </c>
      <c r="E6" s="12" t="n">
        <v>1.46</v>
      </c>
      <c r="F6" s="12"/>
      <c r="G6" s="12" t="n">
        <v>138</v>
      </c>
      <c r="H6" s="12"/>
    </row>
    <row r="7" customFormat="false" ht="15" hidden="false" customHeight="true" outlineLevel="0" collapsed="false">
      <c r="A7" s="12" t="s">
        <v>540</v>
      </c>
      <c r="B7" s="12" t="s">
        <v>787</v>
      </c>
      <c r="C7" s="12" t="s">
        <v>792</v>
      </c>
      <c r="D7" s="12" t="n">
        <v>1515.8</v>
      </c>
      <c r="E7" s="12" t="n">
        <v>1.61</v>
      </c>
      <c r="F7" s="12" t="s">
        <v>793</v>
      </c>
      <c r="G7" s="12" t="n">
        <v>138</v>
      </c>
      <c r="H7" s="12"/>
    </row>
    <row r="8" customFormat="false" ht="15" hidden="false" customHeight="true" outlineLevel="0" collapsed="false">
      <c r="A8" s="12" t="s">
        <v>544</v>
      </c>
      <c r="B8" s="12" t="s">
        <v>787</v>
      </c>
      <c r="C8" s="12" t="s">
        <v>794</v>
      </c>
      <c r="D8" s="12" t="n">
        <v>982.8</v>
      </c>
      <c r="E8" s="12" t="n">
        <v>3.15</v>
      </c>
      <c r="F8" s="12" t="s">
        <v>795</v>
      </c>
      <c r="G8" s="12" t="n">
        <v>138</v>
      </c>
      <c r="H8" s="12"/>
    </row>
    <row r="9" customFormat="false" ht="23.25" hidden="false" customHeight="true" outlineLevel="0" collapsed="false">
      <c r="A9" s="12" t="s">
        <v>551</v>
      </c>
      <c r="B9" s="12" t="s">
        <v>796</v>
      </c>
      <c r="C9" s="12" t="s">
        <v>797</v>
      </c>
      <c r="D9" s="12"/>
      <c r="E9" s="12" t="n">
        <v>1.049</v>
      </c>
      <c r="F9" s="12"/>
      <c r="G9" s="12" t="n">
        <v>338</v>
      </c>
      <c r="H9" s="12" t="s">
        <v>798</v>
      </c>
    </row>
    <row r="10" customFormat="false" ht="15" hidden="false" customHeight="true" outlineLevel="0" collapsed="false">
      <c r="A10" s="12" t="s">
        <v>553</v>
      </c>
      <c r="B10" s="12" t="s">
        <v>796</v>
      </c>
      <c r="C10" s="12" t="s">
        <v>799</v>
      </c>
      <c r="D10" s="12" t="n">
        <v>2617</v>
      </c>
      <c r="E10" s="12" t="n">
        <v>3.27</v>
      </c>
      <c r="F10" s="12" t="s">
        <v>800</v>
      </c>
      <c r="G10" s="12"/>
      <c r="H10" s="12" t="s">
        <v>801</v>
      </c>
    </row>
    <row r="11" customFormat="false" ht="15" hidden="false" customHeight="true" outlineLevel="0" collapsed="false">
      <c r="A11" s="12" t="s">
        <v>555</v>
      </c>
      <c r="B11" s="12" t="s">
        <v>802</v>
      </c>
      <c r="C11" s="12" t="s">
        <v>803</v>
      </c>
      <c r="D11" s="12" t="n">
        <v>1905</v>
      </c>
      <c r="E11" s="12" t="n">
        <v>76.2</v>
      </c>
      <c r="F11" s="12" t="s">
        <v>804</v>
      </c>
      <c r="G11" s="12" t="n">
        <v>529</v>
      </c>
      <c r="H11" s="12" t="s">
        <v>801</v>
      </c>
    </row>
    <row r="12" customFormat="false" ht="15" hidden="false" customHeight="true" outlineLevel="0" collapsed="false">
      <c r="A12" s="12" t="s">
        <v>557</v>
      </c>
      <c r="B12" s="12" t="s">
        <v>805</v>
      </c>
      <c r="C12" s="12" t="s">
        <v>806</v>
      </c>
      <c r="D12" s="12" t="n">
        <v>2856</v>
      </c>
      <c r="E12" s="12" t="n">
        <v>2.86</v>
      </c>
      <c r="F12" s="12" t="s">
        <v>807</v>
      </c>
      <c r="G12" s="12"/>
      <c r="H12" s="12" t="s">
        <v>808</v>
      </c>
    </row>
    <row r="13" customFormat="false" ht="15" hidden="false" customHeight="true" outlineLevel="0" collapsed="false">
      <c r="A13" s="12" t="s">
        <v>563</v>
      </c>
      <c r="B13" s="12" t="s">
        <v>809</v>
      </c>
      <c r="C13" s="12" t="s">
        <v>810</v>
      </c>
      <c r="D13" s="12" t="n">
        <v>800</v>
      </c>
      <c r="E13" s="12"/>
      <c r="F13" s="12" t="s">
        <v>811</v>
      </c>
      <c r="G13" s="12"/>
      <c r="H13" s="12" t="s">
        <v>812</v>
      </c>
    </row>
    <row r="14" customFormat="false" ht="23.25" hidden="false" customHeight="true" outlineLevel="0" collapsed="false">
      <c r="A14" s="12" t="s">
        <v>568</v>
      </c>
      <c r="B14" s="12" t="s">
        <v>813</v>
      </c>
      <c r="C14" s="12" t="s">
        <v>814</v>
      </c>
      <c r="D14" s="12" t="n">
        <v>3499</v>
      </c>
      <c r="E14" s="12" t="n">
        <v>0.35</v>
      </c>
      <c r="F14" s="12" t="s">
        <v>815</v>
      </c>
      <c r="G14" s="12"/>
      <c r="H14" s="12" t="s">
        <v>816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1F0EA"/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26"/>
    <col collapsed="false" customWidth="true" hidden="false" outlineLevel="0" max="5" min="5" style="1" width="20"/>
    <col collapsed="false" customWidth="true" hidden="false" outlineLevel="0" max="6" min="6" style="1" width="10"/>
    <col collapsed="false" customWidth="true" hidden="false" outlineLevel="0" max="7" min="7" style="1" width="38"/>
  </cols>
  <sheetData>
    <row r="1" customFormat="false" ht="15.75" hidden="false" customHeight="true" outlineLevel="0" collapsed="false">
      <c r="A1" s="16" t="s">
        <v>91</v>
      </c>
    </row>
    <row r="2" customFormat="false" ht="15" hidden="false" customHeight="true" outlineLevel="0" collapsed="false">
      <c r="A2" s="10" t="s">
        <v>817</v>
      </c>
    </row>
    <row r="4" customFormat="false" ht="31.5" hidden="false" customHeight="true" outlineLevel="0" collapsed="false">
      <c r="A4" s="11" t="s">
        <v>818</v>
      </c>
      <c r="B4" s="11" t="s">
        <v>819</v>
      </c>
      <c r="C4" s="11" t="s">
        <v>820</v>
      </c>
      <c r="D4" s="11" t="s">
        <v>821</v>
      </c>
      <c r="E4" s="11" t="s">
        <v>822</v>
      </c>
      <c r="F4" s="11" t="s">
        <v>823</v>
      </c>
      <c r="G4" s="11" t="s">
        <v>126</v>
      </c>
    </row>
    <row r="5" customFormat="false" ht="15" hidden="false" customHeight="true" outlineLevel="0" collapsed="false">
      <c r="A5" s="12" t="s">
        <v>824</v>
      </c>
      <c r="B5" s="12" t="s">
        <v>825</v>
      </c>
      <c r="C5" s="12" t="s">
        <v>826</v>
      </c>
      <c r="D5" s="12" t="s">
        <v>827</v>
      </c>
      <c r="E5" s="12" t="s">
        <v>828</v>
      </c>
      <c r="F5" s="12" t="s">
        <v>829</v>
      </c>
      <c r="G5" s="12" t="s">
        <v>830</v>
      </c>
    </row>
    <row r="6" customFormat="false" ht="15" hidden="false" customHeight="true" outlineLevel="0" collapsed="false">
      <c r="A6" s="12" t="s">
        <v>831</v>
      </c>
      <c r="B6" s="12" t="s">
        <v>832</v>
      </c>
      <c r="C6" s="12" t="s">
        <v>833</v>
      </c>
      <c r="D6" s="12" t="s">
        <v>834</v>
      </c>
      <c r="E6" s="12" t="s">
        <v>835</v>
      </c>
      <c r="F6" s="12" t="s">
        <v>829</v>
      </c>
      <c r="G6" s="12" t="s">
        <v>830</v>
      </c>
    </row>
    <row r="7" customFormat="false" ht="15" hidden="false" customHeight="true" outlineLevel="0" collapsed="false">
      <c r="A7" s="12" t="s">
        <v>836</v>
      </c>
      <c r="B7" s="12" t="s">
        <v>837</v>
      </c>
      <c r="C7" s="12" t="s">
        <v>838</v>
      </c>
      <c r="D7" s="12" t="s">
        <v>839</v>
      </c>
      <c r="E7" s="12" t="s">
        <v>840</v>
      </c>
      <c r="F7" s="12" t="s">
        <v>829</v>
      </c>
      <c r="G7" s="12" t="s">
        <v>830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54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80"/>
  </cols>
  <sheetData>
    <row r="1" customFormat="false" ht="15.75" hidden="false" customHeight="true" outlineLevel="0" collapsed="false">
      <c r="A1" s="16" t="s">
        <v>841</v>
      </c>
    </row>
    <row r="2" customFormat="false" ht="15" hidden="false" customHeight="true" outlineLevel="0" collapsed="false">
      <c r="A2" s="10" t="s">
        <v>842</v>
      </c>
    </row>
    <row r="4" customFormat="false" ht="15" hidden="false" customHeight="true" outlineLevel="0" collapsed="false">
      <c r="A4" s="75" t="s">
        <v>843</v>
      </c>
      <c r="B4" s="75" t="s">
        <v>844</v>
      </c>
      <c r="C4" s="75" t="s">
        <v>845</v>
      </c>
      <c r="D4" s="75" t="s">
        <v>846</v>
      </c>
      <c r="E4" s="75" t="s">
        <v>126</v>
      </c>
    </row>
    <row r="5" customFormat="false" ht="15" hidden="false" customHeight="true" outlineLevel="0" collapsed="false">
      <c r="A5" s="1" t="s">
        <v>847</v>
      </c>
      <c r="B5" s="1" t="s">
        <v>848</v>
      </c>
      <c r="C5" s="1" t="n">
        <v>5000000</v>
      </c>
      <c r="D5" s="1" t="s">
        <v>849</v>
      </c>
      <c r="E5" s="1" t="s">
        <v>850</v>
      </c>
    </row>
    <row r="6" customFormat="false" ht="15" hidden="false" customHeight="true" outlineLevel="0" collapsed="false">
      <c r="A6" s="1" t="s">
        <v>851</v>
      </c>
      <c r="B6" s="1" t="s">
        <v>852</v>
      </c>
      <c r="C6" s="1" t="n">
        <v>1500000</v>
      </c>
      <c r="D6" s="1" t="s">
        <v>849</v>
      </c>
      <c r="E6" s="1" t="s">
        <v>853</v>
      </c>
    </row>
    <row r="7" customFormat="false" ht="15" hidden="false" customHeight="true" outlineLevel="0" collapsed="false">
      <c r="A7" s="1" t="s">
        <v>854</v>
      </c>
      <c r="B7" s="1" t="s">
        <v>855</v>
      </c>
      <c r="C7" s="1" t="n">
        <v>500000</v>
      </c>
      <c r="D7" s="1" t="s">
        <v>849</v>
      </c>
      <c r="E7" s="1" t="s">
        <v>856</v>
      </c>
    </row>
    <row r="8" customFormat="false" ht="15" hidden="false" customHeight="true" outlineLevel="0" collapsed="false">
      <c r="A8" s="1" t="s">
        <v>857</v>
      </c>
      <c r="B8" s="1" t="s">
        <v>858</v>
      </c>
      <c r="C8" s="1" t="n">
        <v>100000</v>
      </c>
      <c r="D8" s="1" t="s">
        <v>849</v>
      </c>
      <c r="E8" s="1" t="s">
        <v>859</v>
      </c>
    </row>
    <row r="9" customFormat="false" ht="15" hidden="false" customHeight="true" outlineLevel="0" collapsed="false">
      <c r="A9" s="1" t="s">
        <v>860</v>
      </c>
      <c r="B9" s="1" t="s">
        <v>861</v>
      </c>
      <c r="C9" s="1" t="n">
        <v>200000</v>
      </c>
      <c r="D9" s="1" t="s">
        <v>849</v>
      </c>
      <c r="E9" s="1" t="s">
        <v>862</v>
      </c>
    </row>
    <row r="10" customFormat="false" ht="15" hidden="false" customHeight="true" outlineLevel="0" collapsed="false">
      <c r="A10" s="1" t="s">
        <v>863</v>
      </c>
      <c r="B10" s="1" t="s">
        <v>864</v>
      </c>
      <c r="C10" s="1" t="n">
        <v>1200000</v>
      </c>
      <c r="D10" s="1" t="s">
        <v>865</v>
      </c>
      <c r="E10" s="1" t="s">
        <v>866</v>
      </c>
    </row>
    <row r="11" customFormat="false" ht="15" hidden="false" customHeight="true" outlineLevel="0" collapsed="false">
      <c r="A11" s="1" t="s">
        <v>867</v>
      </c>
      <c r="B11" s="1" t="s">
        <v>868</v>
      </c>
      <c r="C11" s="1" t="n">
        <v>1500000</v>
      </c>
      <c r="D11" s="1" t="s">
        <v>869</v>
      </c>
      <c r="E11" s="1" t="s">
        <v>870</v>
      </c>
    </row>
    <row r="12" customFormat="false" ht="15" hidden="false" customHeight="true" outlineLevel="0" collapsed="false">
      <c r="A12" s="1" t="s">
        <v>871</v>
      </c>
      <c r="B12" s="1" t="s">
        <v>872</v>
      </c>
      <c r="C12" s="1" t="n">
        <v>1200000</v>
      </c>
      <c r="D12" s="1" t="s">
        <v>869</v>
      </c>
      <c r="E12" s="1" t="s">
        <v>873</v>
      </c>
    </row>
    <row r="13" customFormat="false" ht="15" hidden="false" customHeight="true" outlineLevel="0" collapsed="false">
      <c r="A13" s="1" t="s">
        <v>874</v>
      </c>
      <c r="B13" s="1" t="s">
        <v>875</v>
      </c>
      <c r="C13" s="1" t="n">
        <v>0.25</v>
      </c>
      <c r="D13" s="1" t="s">
        <v>876</v>
      </c>
      <c r="E13" s="1" t="s">
        <v>877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54" activeCellId="0" sqref="A54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3" min="3" style="1" width="30"/>
    <col collapsed="false" customWidth="true" hidden="false" outlineLevel="0" max="4" min="4" style="1" width="8"/>
    <col collapsed="false" customWidth="true" hidden="false" outlineLevel="0" max="5" min="5" style="1" width="20"/>
    <col collapsed="false" customWidth="true" hidden="false" outlineLevel="0" max="6" min="6" style="1" width="11"/>
    <col collapsed="false" customWidth="true" hidden="false" outlineLevel="0" max="7" min="7" style="1" width="9"/>
    <col collapsed="false" customWidth="true" hidden="false" outlineLevel="0" max="9" min="8" style="1" width="8"/>
    <col collapsed="false" customWidth="true" hidden="false" outlineLevel="0" max="10" min="10" style="1" width="11"/>
    <col collapsed="false" customWidth="true" hidden="false" outlineLevel="0" max="11" min="11" style="1" width="12"/>
    <col collapsed="false" customWidth="true" hidden="false" outlineLevel="0" max="12" min="12" style="1" width="13"/>
    <col collapsed="false" customWidth="true" hidden="false" outlineLevel="0" max="13" min="13" style="1" width="15"/>
    <col collapsed="false" customWidth="true" hidden="false" outlineLevel="0" max="14" min="14" style="1" width="13"/>
    <col collapsed="false" customWidth="true" hidden="false" outlineLevel="0" max="15" min="15" style="1" width="42"/>
    <col collapsed="false" customWidth="true" hidden="true" outlineLevel="0" max="18" min="16" style="1" width="13"/>
  </cols>
  <sheetData>
    <row r="1" customFormat="false" ht="41.25" hidden="false" customHeight="true" outlineLevel="0" collapsed="false">
      <c r="A1" s="76" t="s">
        <v>878</v>
      </c>
      <c r="B1" s="76" t="s">
        <v>879</v>
      </c>
      <c r="C1" s="76" t="s">
        <v>880</v>
      </c>
      <c r="D1" s="76" t="s">
        <v>881</v>
      </c>
      <c r="E1" s="76" t="s">
        <v>882</v>
      </c>
      <c r="F1" s="76" t="s">
        <v>883</v>
      </c>
      <c r="G1" s="76" t="s">
        <v>884</v>
      </c>
      <c r="H1" s="76" t="s">
        <v>885</v>
      </c>
      <c r="I1" s="76" t="s">
        <v>886</v>
      </c>
      <c r="J1" s="76" t="s">
        <v>887</v>
      </c>
      <c r="K1" s="76" t="s">
        <v>888</v>
      </c>
      <c r="L1" s="76" t="s">
        <v>889</v>
      </c>
      <c r="M1" s="76" t="s">
        <v>890</v>
      </c>
      <c r="N1" s="76" t="s">
        <v>7</v>
      </c>
      <c r="O1" s="76" t="s">
        <v>891</v>
      </c>
      <c r="P1" s="16" t="s">
        <v>892</v>
      </c>
      <c r="Q1" s="16" t="s">
        <v>893</v>
      </c>
      <c r="R1" s="16" t="s">
        <v>894</v>
      </c>
    </row>
    <row r="2" customFormat="false" ht="21.75" hidden="false" customHeight="true" outlineLevel="0" collapsed="false">
      <c r="A2" s="77" t="s">
        <v>895</v>
      </c>
      <c r="B2" s="77" t="s">
        <v>896</v>
      </c>
      <c r="C2" s="78" t="s">
        <v>897</v>
      </c>
      <c r="D2" s="77"/>
      <c r="E2" s="77" t="s">
        <v>898</v>
      </c>
      <c r="F2" s="79"/>
      <c r="G2" s="77" t="s">
        <v>337</v>
      </c>
      <c r="H2" s="77"/>
      <c r="I2" s="80"/>
      <c r="J2" s="81" t="n">
        <f aca="false">(12*Inputs!$B$5)*(1+Inputs!$B$20)</f>
        <v>712.8</v>
      </c>
      <c r="K2" s="82"/>
      <c r="L2" s="80"/>
      <c r="M2" s="83"/>
      <c r="N2" s="83"/>
      <c r="O2" s="84" t="s">
        <v>899</v>
      </c>
    </row>
    <row r="3" customFormat="false" ht="21.75" hidden="false" customHeight="true" outlineLevel="0" collapsed="false">
      <c r="A3" s="77" t="s">
        <v>895</v>
      </c>
      <c r="B3" s="77" t="s">
        <v>896</v>
      </c>
      <c r="C3" s="78" t="s">
        <v>900</v>
      </c>
      <c r="D3" s="77"/>
      <c r="E3" s="77" t="s">
        <v>898</v>
      </c>
      <c r="F3" s="79"/>
      <c r="G3" s="77" t="s">
        <v>337</v>
      </c>
      <c r="H3" s="77"/>
      <c r="I3" s="80"/>
      <c r="J3" s="81" t="n">
        <f aca="false">(50*Inputs!$B$9)*(1+Inputs!$B$20)</f>
        <v>165</v>
      </c>
      <c r="K3" s="82"/>
      <c r="L3" s="80"/>
      <c r="M3" s="83"/>
      <c r="N3" s="83"/>
      <c r="O3" s="84" t="s">
        <v>899</v>
      </c>
    </row>
    <row r="4" customFormat="false" ht="15" hidden="false" customHeight="true" outlineLevel="0" collapsed="false">
      <c r="A4" s="85" t="s">
        <v>895</v>
      </c>
      <c r="B4" s="85" t="s">
        <v>901</v>
      </c>
      <c r="C4" s="85" t="s">
        <v>902</v>
      </c>
      <c r="D4" s="85" t="s">
        <v>553</v>
      </c>
      <c r="E4" s="85" t="s">
        <v>9</v>
      </c>
      <c r="F4" s="86" t="n">
        <v>1</v>
      </c>
      <c r="G4" s="85" t="s">
        <v>548</v>
      </c>
      <c r="H4" s="87" t="n">
        <f aca="false">Inputs!$B$20</f>
        <v>0.1</v>
      </c>
      <c r="I4" s="88" t="n">
        <f aca="false">VLOOKUP(E4,Inputs!$D$5:$E$23,2,FALSE())</f>
        <v>54</v>
      </c>
      <c r="J4" s="89" t="n">
        <f aca="false">F4*I4*(1+H4)</f>
        <v>59.4</v>
      </c>
      <c r="K4" s="90" t="n">
        <f aca="false">IF(ISNUMBER(MATCH(G4,{"tube","each","plate","vial","kit","bottle","aliquot","strainer","cap","lane-rxn","tip","strip","lane","channel","library","sample"},0)),ROUNDUP(J4,0),ROUND(J4,2))</f>
        <v>60</v>
      </c>
      <c r="L4" s="91" t="n">
        <f aca="false">IFERROR(IF(OR(D4="",P4="",Q4="",Q4=0),"",IF(VLOOKUP(R4,Unit_Conversions!$A$5:$C$28,3,FALSE())=VLOOKUP(G4,Unit_Conversions!$A$5:$C$28,3,FALSE()),P4*VLOOKUP(G4,Unit_Conversions!$A$5:$C$28,2,FALSE())/(Q4*VLOOKUP(R4,Unit_Conversions!$A$5:$C$28,2,FALSE())),"")),"")</f>
        <v>0.2222</v>
      </c>
      <c r="M4" s="92" t="n">
        <f aca="false">IFERROR(F4*L4,"")</f>
        <v>0.2222</v>
      </c>
      <c r="N4" s="93" t="n">
        <f aca="false">IFERROR(J4*L4,"")</f>
        <v>13.19868</v>
      </c>
      <c r="O4" s="94" t="s">
        <v>903</v>
      </c>
      <c r="P4" s="1" t="n">
        <f aca="false">IFERROR(IF(LEFT(D4,1)="K",VLOOKUP(D4,Kit_Catalog!$A:$K,8,FALSE()),VLOOKUP(D4,Additional_Supply_Catalog!$A:$K,7,FALSE())),"")</f>
        <v>11.11</v>
      </c>
      <c r="Q4" s="1" t="n">
        <f aca="false">IFERROR(IF(LEFT(D4,1)="K",VLOOKUP(D4,Kit_Catalog!$A:$K,7,FALSE()),VLOOKUP(D4,Additional_Supply_Catalog!$A:$K,8,FALSE())),"")</f>
        <v>50</v>
      </c>
      <c r="R4" s="1" t="str">
        <f aca="false">IFERROR(IF(LEFT(D4,1)="K","rxn",VLOOKUP(D4,Additional_Supply_Catalog!$A:$K,9,FALSE())),"")</f>
        <v>tube</v>
      </c>
    </row>
    <row r="5" customFormat="false" ht="15" hidden="false" customHeight="true" outlineLevel="0" collapsed="false">
      <c r="A5" s="85" t="s">
        <v>895</v>
      </c>
      <c r="B5" s="85" t="s">
        <v>901</v>
      </c>
      <c r="C5" s="85" t="s">
        <v>904</v>
      </c>
      <c r="D5" s="85" t="s">
        <v>563</v>
      </c>
      <c r="E5" s="85" t="s">
        <v>9</v>
      </c>
      <c r="F5" s="86" t="n">
        <v>0.041667</v>
      </c>
      <c r="G5" s="85" t="s">
        <v>566</v>
      </c>
      <c r="H5" s="87" t="n">
        <f aca="false">Inputs!$B$20</f>
        <v>0.1</v>
      </c>
      <c r="I5" s="88" t="n">
        <f aca="false">VLOOKUP(E5,Inputs!$D$5:$E$23,2,FALSE())</f>
        <v>54</v>
      </c>
      <c r="J5" s="89" t="n">
        <f aca="false">F5*I5*(1+H5)</f>
        <v>2.4750198</v>
      </c>
      <c r="K5" s="90" t="n">
        <f aca="false">IF(ISNUMBER(MATCH(G5,{"tube","each","plate","vial","kit","bottle","aliquot","strainer","cap","lane-rxn","tip","strip","lane","channel","library","sample"},0)),ROUNDUP(J5,0),ROUND(J5,2))</f>
        <v>3</v>
      </c>
      <c r="L5" s="91" t="n">
        <f aca="false">IFERROR(IF(OR(D5="",P5="",Q5="",Q5=0),"",IF(VLOOKUP(R5,Unit_Conversions!$A$5:$C$28,3,FALSE())=VLOOKUP(G5,Unit_Conversions!$A$5:$C$28,3,FALSE()),P5*VLOOKUP(G5,Unit_Conversions!$A$5:$C$28,2,FALSE())/(Q5*VLOOKUP(R5,Unit_Conversions!$A$5:$C$28,2,FALSE())),"")),"")</f>
        <v>25.535</v>
      </c>
      <c r="M5" s="92" t="n">
        <f aca="false">IFERROR(F5*L5,"")</f>
        <v>1.063966845</v>
      </c>
      <c r="N5" s="93" t="n">
        <f aca="false">IFERROR(J5*L5,"")</f>
        <v>63.199630593</v>
      </c>
      <c r="O5" s="94" t="s">
        <v>903</v>
      </c>
      <c r="P5" s="1" t="n">
        <f aca="false">IFERROR(IF(LEFT(D5,1)="K",VLOOKUP(D5,Kit_Catalog!$A:$K,8,FALSE()),VLOOKUP(D5,Additional_Supply_Catalog!$A:$K,7,FALSE())),"")</f>
        <v>5107</v>
      </c>
      <c r="Q5" s="1" t="n">
        <f aca="false">IFERROR(IF(LEFT(D5,1)="K",VLOOKUP(D5,Kit_Catalog!$A:$K,7,FALSE()),VLOOKUP(D5,Additional_Supply_Catalog!$A:$K,8,FALSE())),"")</f>
        <v>200</v>
      </c>
      <c r="R5" s="1" t="str">
        <f aca="false">IFERROR(IF(LEFT(D5,1)="K","rxn",VLOOKUP(D5,Additional_Supply_Catalog!$A:$K,9,FALSE())),"")</f>
        <v>plate</v>
      </c>
    </row>
    <row r="6" customFormat="false" ht="15" hidden="false" customHeight="true" outlineLevel="0" collapsed="false">
      <c r="A6" s="85" t="s">
        <v>895</v>
      </c>
      <c r="B6" s="85" t="s">
        <v>901</v>
      </c>
      <c r="C6" s="85" t="s">
        <v>905</v>
      </c>
      <c r="D6" s="85" t="s">
        <v>568</v>
      </c>
      <c r="E6" s="85" t="s">
        <v>9</v>
      </c>
      <c r="F6" s="86" t="n">
        <v>1</v>
      </c>
      <c r="G6" s="85" t="s">
        <v>373</v>
      </c>
      <c r="H6" s="87" t="n">
        <f aca="false">Inputs!$B$20</f>
        <v>0.1</v>
      </c>
      <c r="I6" s="88" t="n">
        <f aca="false">VLOOKUP(E6,Inputs!$D$5:$E$23,2,FALSE())</f>
        <v>54</v>
      </c>
      <c r="J6" s="89" t="n">
        <f aca="false">F6*I6*(1+H6)</f>
        <v>59.4</v>
      </c>
      <c r="K6" s="90" t="n">
        <f aca="false">IF(ISNUMBER(MATCH(G6,{"tube","each","plate","vial","kit","bottle","aliquot","strainer","cap","lane-rxn","tip","strip","lane","channel","library","sample"},0)),ROUNDUP(J6,0),ROUND(J6,2))</f>
        <v>60</v>
      </c>
      <c r="L6" s="91" t="n">
        <f aca="false">IFERROR(IF(OR(D6="",P6="",Q6="",Q6=0),"",IF(VLOOKUP(R6,Unit_Conversions!$A$5:$C$28,3,FALSE())=VLOOKUP(G6,Unit_Conversions!$A$5:$C$28,3,FALSE()),P6*VLOOKUP(G6,Unit_Conversions!$A$5:$C$28,2,FALSE())/(Q6*VLOOKUP(R6,Unit_Conversions!$A$5:$C$28,2,FALSE())),"")),"")</f>
        <v>3.9</v>
      </c>
      <c r="M6" s="92" t="n">
        <f aca="false">IFERROR(F6*L6,"")</f>
        <v>3.9</v>
      </c>
      <c r="N6" s="93" t="n">
        <f aca="false">IFERROR(J6*L6,"")</f>
        <v>231.66</v>
      </c>
      <c r="O6" s="94" t="s">
        <v>903</v>
      </c>
      <c r="P6" s="1" t="n">
        <f aca="false">IFERROR(IF(LEFT(D6,1)="K",VLOOKUP(D6,Kit_Catalog!$A:$K,8,FALSE()),VLOOKUP(D6,Additional_Supply_Catalog!$A:$K,7,FALSE())),"")</f>
        <v>195</v>
      </c>
      <c r="Q6" s="1" t="n">
        <f aca="false">IFERROR(IF(LEFT(D6,1)="K",VLOOKUP(D6,Kit_Catalog!$A:$K,7,FALSE()),VLOOKUP(D6,Additional_Supply_Catalog!$A:$K,8,FALSE())),"")</f>
        <v>50</v>
      </c>
      <c r="R6" s="1" t="str">
        <f aca="false">IFERROR(IF(LEFT(D6,1)="K","rxn",VLOOKUP(D6,Additional_Supply_Catalog!$A:$K,9,FALSE())),"")</f>
        <v>each</v>
      </c>
    </row>
    <row r="7" customFormat="false" ht="15" hidden="false" customHeight="true" outlineLevel="0" collapsed="false">
      <c r="A7" s="85" t="s">
        <v>895</v>
      </c>
      <c r="B7" s="85" t="s">
        <v>901</v>
      </c>
      <c r="C7" s="85" t="s">
        <v>906</v>
      </c>
      <c r="D7" s="85" t="s">
        <v>473</v>
      </c>
      <c r="E7" s="85" t="s">
        <v>9</v>
      </c>
      <c r="F7" s="86" t="n">
        <v>13.2</v>
      </c>
      <c r="G7" s="85" t="s">
        <v>337</v>
      </c>
      <c r="H7" s="87" t="n">
        <f aca="false">Inputs!$B$20</f>
        <v>0.1</v>
      </c>
      <c r="I7" s="88" t="n">
        <f aca="false">VLOOKUP(E7,Inputs!$D$5:$E$23,2,FALSE())</f>
        <v>54</v>
      </c>
      <c r="J7" s="89" t="n">
        <f aca="false">J2+J3</f>
        <v>877.8</v>
      </c>
      <c r="K7" s="90" t="n">
        <f aca="false">IF(ISNUMBER(MATCH(G7,{"tube","each","plate","vial","kit","bottle","aliquot","strainer","cap","lane-rxn","tip","strip","lane","channel","library","sample"},0)),ROUNDUP(J7,0),ROUND(J7,2))</f>
        <v>877.8</v>
      </c>
      <c r="L7" s="91" t="n">
        <f aca="false">IFERROR(IF(OR(D7="",P7="",Q7="",Q7=0),"",IF(VLOOKUP(R7,Unit_Conversions!$A$5:$C$28,3,FALSE())=VLOOKUP(G7,Unit_Conversions!$A$5:$C$28,3,FALSE()),P7*VLOOKUP(G7,Unit_Conversions!$A$5:$C$28,2,FALSE())/(Q7*VLOOKUP(R7,Unit_Conversions!$A$5:$C$28,2,FALSE())),"")),"")</f>
        <v>0.01356</v>
      </c>
      <c r="M7" s="92" t="n">
        <f aca="false">IFERROR(F7*L7,"")</f>
        <v>0.178992</v>
      </c>
      <c r="N7" s="93" t="n">
        <f aca="false">IFERROR(J7*L7,"")</f>
        <v>11.902968</v>
      </c>
      <c r="O7" s="94" t="s">
        <v>907</v>
      </c>
      <c r="P7" s="1" t="n">
        <f aca="false">IFERROR(IF(LEFT(D7,1)="K",VLOOKUP(D7,Kit_Catalog!$A:$K,8,FALSE()),VLOOKUP(D7,Additional_Supply_Catalog!$A:$K,7,FALSE())),"")</f>
        <v>6.78</v>
      </c>
      <c r="Q7" s="1" t="n">
        <f aca="false">IFERROR(IF(LEFT(D7,1)="K",VLOOKUP(D7,Kit_Catalog!$A:$K,7,FALSE()),VLOOKUP(D7,Additional_Supply_Catalog!$A:$K,8,FALSE())),"")</f>
        <v>500</v>
      </c>
      <c r="R7" s="1" t="str">
        <f aca="false">IFERROR(IF(LEFT(D7,1)="K","rxn",VLOOKUP(D7,Additional_Supply_Catalog!$A:$K,9,FALSE())),"")</f>
        <v>mL</v>
      </c>
    </row>
    <row r="8" customFormat="false" ht="15" hidden="false" customHeight="true" outlineLevel="0" collapsed="false">
      <c r="A8" s="85" t="s">
        <v>895</v>
      </c>
      <c r="B8" s="85" t="s">
        <v>901</v>
      </c>
      <c r="C8" s="85" t="s">
        <v>481</v>
      </c>
      <c r="D8" s="85" t="s">
        <v>480</v>
      </c>
      <c r="E8" s="85" t="s">
        <v>9</v>
      </c>
      <c r="F8" s="86" t="n">
        <v>0.3</v>
      </c>
      <c r="G8" s="85" t="s">
        <v>337</v>
      </c>
      <c r="H8" s="87" t="n">
        <f aca="false">Inputs!$B$20</f>
        <v>0.1</v>
      </c>
      <c r="I8" s="88" t="n">
        <f aca="false">VLOOKUP(E8,Inputs!$D$5:$E$23,2,FALSE())</f>
        <v>54</v>
      </c>
      <c r="J8" s="89" t="n">
        <f aca="false">F8*I8*(1+H8)</f>
        <v>17.82</v>
      </c>
      <c r="K8" s="90" t="n">
        <f aca="false">IF(ISNUMBER(MATCH(G8,{"tube","each","plate","vial","kit","bottle","aliquot","strainer","cap","lane-rxn","tip","strip","lane","channel","library","sample"},0)),ROUNDUP(J8,0),ROUND(J8,2))</f>
        <v>17.82</v>
      </c>
      <c r="L8" s="91" t="n">
        <f aca="false">IFERROR(IF(OR(D8="",P8="",Q8="",Q8=0),"",IF(VLOOKUP(R8,Unit_Conversions!$A$5:$C$28,3,FALSE())=VLOOKUP(G8,Unit_Conversions!$A$5:$C$28,3,FALSE()),P8*VLOOKUP(G8,Unit_Conversions!$A$5:$C$28,2,FALSE())/(Q8*VLOOKUP(R8,Unit_Conversions!$A$5:$C$28,2,FALSE())),"")),"")</f>
        <v>0.32</v>
      </c>
      <c r="M8" s="92" t="n">
        <f aca="false">IFERROR(F8*L8,"")</f>
        <v>0.096</v>
      </c>
      <c r="N8" s="93" t="n">
        <f aca="false">IFERROR(J8*L8,"")</f>
        <v>5.7024</v>
      </c>
      <c r="O8" s="94"/>
      <c r="P8" s="1" t="n">
        <f aca="false">IFERROR(IF(LEFT(D8,1)="K",VLOOKUP(D8,Kit_Catalog!$A:$K,8,FALSE()),VLOOKUP(D8,Additional_Supply_Catalog!$A:$K,7,FALSE())),"")</f>
        <v>32</v>
      </c>
      <c r="Q8" s="1" t="n">
        <f aca="false">IFERROR(IF(LEFT(D8,1)="K",VLOOKUP(D8,Kit_Catalog!$A:$K,7,FALSE()),VLOOKUP(D8,Additional_Supply_Catalog!$A:$K,8,FALSE())),"")</f>
        <v>100</v>
      </c>
      <c r="R8" s="1" t="str">
        <f aca="false">IFERROR(IF(LEFT(D8,1)="K","rxn",VLOOKUP(D8,Additional_Supply_Catalog!$A:$K,9,FALSE())),"")</f>
        <v>mL</v>
      </c>
    </row>
    <row r="9" customFormat="false" ht="15" hidden="false" customHeight="true" outlineLevel="0" collapsed="false">
      <c r="A9" s="85" t="s">
        <v>895</v>
      </c>
      <c r="B9" s="85" t="s">
        <v>901</v>
      </c>
      <c r="C9" s="85" t="s">
        <v>908</v>
      </c>
      <c r="D9" s="85" t="s">
        <v>483</v>
      </c>
      <c r="E9" s="85" t="s">
        <v>9</v>
      </c>
      <c r="F9" s="95" t="n">
        <v>1.05</v>
      </c>
      <c r="G9" s="85" t="s">
        <v>488</v>
      </c>
      <c r="H9" s="87" t="n">
        <f aca="false">Inputs!$B$20</f>
        <v>0.1</v>
      </c>
      <c r="I9" s="88" t="n">
        <f aca="false">VLOOKUP(E9,Inputs!$D$5:$E$23,2,FALSE())</f>
        <v>54</v>
      </c>
      <c r="J9" s="89" t="n">
        <f aca="false">J2*0.1+J3*0.025</f>
        <v>75.405</v>
      </c>
      <c r="K9" s="90" t="n">
        <f aca="false">IF(ISNUMBER(MATCH(G9,{"tube","each","plate","vial","kit","bottle","aliquot","strainer","cap","lane-rxn","tip","strip","lane","channel","library","sample"},0)),ROUNDUP(J9,0),ROUND(J9,2))</f>
        <v>75.41</v>
      </c>
      <c r="L9" s="91" t="n">
        <f aca="false">IFERROR(IF(OR(D9="",P9="",Q9="",Q9=0),"",IF(VLOOKUP(R9,Unit_Conversions!$A$5:$C$28,3,FALSE())=VLOOKUP(G9,Unit_Conversions!$A$5:$C$28,3,FALSE()),P9*VLOOKUP(G9,Unit_Conversions!$A$5:$C$28,2,FALSE())/(Q9*VLOOKUP(R9,Unit_Conversions!$A$5:$C$28,2,FALSE())),"")),"")</f>
        <v>3.88</v>
      </c>
      <c r="M9" s="92" t="n">
        <f aca="false">IFERROR(L9,"")</f>
        <v>3.88</v>
      </c>
      <c r="N9" s="93" t="n">
        <f aca="false">IFERROR(J9*L9,"")</f>
        <v>292.5714</v>
      </c>
      <c r="O9" s="94" t="s">
        <v>909</v>
      </c>
      <c r="P9" s="1" t="n">
        <f aca="false">IFERROR(IF(LEFT(D9,1)="K",VLOOKUP(D9,Kit_Catalog!$A:$K,8,FALSE()),VLOOKUP(D9,Additional_Supply_Catalog!$A:$K,7,FALSE())),"")</f>
        <v>388</v>
      </c>
      <c r="Q9" s="1" t="n">
        <f aca="false">IFERROR(IF(LEFT(D9,1)="K",VLOOKUP(D9,Kit_Catalog!$A:$K,7,FALSE()),VLOOKUP(D9,Additional_Supply_Catalog!$A:$K,8,FALSE())),"")</f>
        <v>100</v>
      </c>
      <c r="R9" s="1" t="str">
        <f aca="false">IFERROR(IF(LEFT(D9,1)="K","rxn",VLOOKUP(D9,Additional_Supply_Catalog!$A:$K,9,FALSE())),"")</f>
        <v>mg</v>
      </c>
    </row>
    <row r="10" customFormat="false" ht="15" hidden="false" customHeight="true" outlineLevel="0" collapsed="false">
      <c r="A10" s="85" t="s">
        <v>895</v>
      </c>
      <c r="B10" s="85" t="s">
        <v>901</v>
      </c>
      <c r="C10" s="85" t="s">
        <v>492</v>
      </c>
      <c r="D10" s="85" t="s">
        <v>491</v>
      </c>
      <c r="E10" s="85" t="s">
        <v>9</v>
      </c>
      <c r="F10" s="86" t="n">
        <v>20</v>
      </c>
      <c r="G10" s="85" t="s">
        <v>397</v>
      </c>
      <c r="H10" s="87" t="n">
        <f aca="false">Inputs!$B$20</f>
        <v>0.1</v>
      </c>
      <c r="I10" s="88" t="n">
        <f aca="false">VLOOKUP(E10,Inputs!$D$5:$E$23,2,FALSE())</f>
        <v>54</v>
      </c>
      <c r="J10" s="89" t="n">
        <f aca="false">F10*I10*(1+H10)</f>
        <v>1188</v>
      </c>
      <c r="K10" s="90" t="n">
        <f aca="false">IF(ISNUMBER(MATCH(G10,{"tube","each","plate","vial","kit","bottle","aliquot","strainer","cap","lane-rxn","tip","strip","lane","channel","library","sample"},0)),ROUNDUP(J10,0),ROUND(J10,2))</f>
        <v>1188</v>
      </c>
      <c r="L10" s="91" t="n">
        <f aca="false">IFERROR(IF(OR(D10="",P10="",Q10="",Q10=0),"",IF(VLOOKUP(R10,Unit_Conversions!$A$5:$C$28,3,FALSE())=VLOOKUP(G10,Unit_Conversions!$A$5:$C$28,3,FALSE()),P10*VLOOKUP(G10,Unit_Conversions!$A$5:$C$28,2,FALSE())/(Q10*VLOOKUP(R10,Unit_Conversions!$A$5:$C$28,2,FALSE())),"")),"")</f>
        <v>0.02424</v>
      </c>
      <c r="M10" s="92" t="n">
        <f aca="false">IFERROR(F10*L10,"")</f>
        <v>0.4848</v>
      </c>
      <c r="N10" s="93" t="n">
        <f aca="false">IFERROR(J10*L10,"")</f>
        <v>28.79712</v>
      </c>
      <c r="O10" s="94" t="s">
        <v>903</v>
      </c>
      <c r="P10" s="1" t="n">
        <f aca="false">IFERROR(IF(LEFT(D10,1)="K",VLOOKUP(D10,Kit_Catalog!$A:$K,8,FALSE()),VLOOKUP(D10,Additional_Supply_Catalog!$A:$K,7,FALSE())),"")</f>
        <v>606</v>
      </c>
      <c r="Q10" s="1" t="n">
        <f aca="false">IFERROR(IF(LEFT(D10,1)="K",VLOOKUP(D10,Kit_Catalog!$A:$K,7,FALSE()),VLOOKUP(D10,Additional_Supply_Catalog!$A:$K,8,FALSE())),"")</f>
        <v>25</v>
      </c>
      <c r="R10" s="1" t="str">
        <f aca="false">IFERROR(IF(LEFT(D10,1)="K","rxn",VLOOKUP(D10,Additional_Supply_Catalog!$A:$K,9,FALSE())),"")</f>
        <v>mL</v>
      </c>
    </row>
    <row r="11" customFormat="false" ht="15" hidden="false" customHeight="true" outlineLevel="0" collapsed="false">
      <c r="A11" s="85" t="s">
        <v>895</v>
      </c>
      <c r="B11" s="85" t="s">
        <v>901</v>
      </c>
      <c r="C11" s="85" t="s">
        <v>910</v>
      </c>
      <c r="D11" s="85" t="s">
        <v>555</v>
      </c>
      <c r="E11" s="85" t="s">
        <v>11</v>
      </c>
      <c r="F11" s="86" t="n">
        <v>1</v>
      </c>
      <c r="G11" s="85" t="s">
        <v>548</v>
      </c>
      <c r="H11" s="87" t="n">
        <f aca="false">Inputs!$B$20</f>
        <v>0.1</v>
      </c>
      <c r="I11" s="88" t="n">
        <f aca="false">VLOOKUP(E11,Inputs!$D$5:$E$23,2,FALSE())</f>
        <v>6</v>
      </c>
      <c r="J11" s="89" t="n">
        <f aca="false">F11*I11*(1+H11)</f>
        <v>6.6</v>
      </c>
      <c r="K11" s="90" t="n">
        <f aca="false">IF(ISNUMBER(MATCH(G11,{"tube","each","plate","vial","kit","bottle","aliquot","strainer","cap","lane-rxn","tip","strip","lane","channel","library","sample"},0)),ROUNDUP(J11,0),ROUND(J11,2))</f>
        <v>7</v>
      </c>
      <c r="L11" s="91" t="n">
        <f aca="false">IFERROR(IF(OR(D11="",P11="",Q11="",Q11=0),"",IF(VLOOKUP(R11,Unit_Conversions!$A$5:$C$28,3,FALSE())=VLOOKUP(G11,Unit_Conversions!$A$5:$C$28,3,FALSE()),P11*VLOOKUP(G11,Unit_Conversions!$A$5:$C$28,2,FALSE())/(Q11*VLOOKUP(R11,Unit_Conversions!$A$5:$C$28,2,FALSE())),"")),"")</f>
        <v>0.244</v>
      </c>
      <c r="M11" s="92" t="n">
        <f aca="false">IFERROR(F11*L11,"")</f>
        <v>0.244</v>
      </c>
      <c r="N11" s="93" t="n">
        <f aca="false">IFERROR(J11*L11,"")</f>
        <v>1.6104</v>
      </c>
      <c r="O11" s="94" t="s">
        <v>903</v>
      </c>
      <c r="P11" s="1" t="n">
        <f aca="false">IFERROR(IF(LEFT(D11,1)="K",VLOOKUP(D11,Kit_Catalog!$A:$K,8,FALSE()),VLOOKUP(D11,Additional_Supply_Catalog!$A:$K,7,FALSE())),"")</f>
        <v>6.1</v>
      </c>
      <c r="Q11" s="1" t="n">
        <f aca="false">IFERROR(IF(LEFT(D11,1)="K",VLOOKUP(D11,Kit_Catalog!$A:$K,7,FALSE()),VLOOKUP(D11,Additional_Supply_Catalog!$A:$K,8,FALSE())),"")</f>
        <v>25</v>
      </c>
      <c r="R11" s="1" t="str">
        <f aca="false">IFERROR(IF(LEFT(D11,1)="K","rxn",VLOOKUP(D11,Additional_Supply_Catalog!$A:$K,9,FALSE())),"")</f>
        <v>tube</v>
      </c>
    </row>
    <row r="12" customFormat="false" ht="15" hidden="false" customHeight="true" outlineLevel="0" collapsed="false">
      <c r="A12" s="85" t="s">
        <v>895</v>
      </c>
      <c r="B12" s="85" t="s">
        <v>901</v>
      </c>
      <c r="C12" s="85" t="s">
        <v>910</v>
      </c>
      <c r="D12" s="85" t="s">
        <v>555</v>
      </c>
      <c r="E12" s="85" t="s">
        <v>13</v>
      </c>
      <c r="F12" s="86" t="n">
        <v>1</v>
      </c>
      <c r="G12" s="85" t="s">
        <v>548</v>
      </c>
      <c r="H12" s="87" t="n">
        <f aca="false">Inputs!$B$20</f>
        <v>0.1</v>
      </c>
      <c r="I12" s="88" t="n">
        <f aca="false">VLOOKUP(E12,Inputs!$D$5:$E$23,2,FALSE())</f>
        <v>1</v>
      </c>
      <c r="J12" s="89" t="n">
        <f aca="false">F12*I12*(1+H12)</f>
        <v>1.1</v>
      </c>
      <c r="K12" s="90" t="n">
        <f aca="false">IF(ISNUMBER(MATCH(G12,{"tube","each","plate","vial","kit","bottle","aliquot","strainer","cap","lane-rxn","tip","strip","lane","channel","library","sample"},0)),ROUNDUP(J12,0),ROUND(J12,2))</f>
        <v>2</v>
      </c>
      <c r="L12" s="91" t="n">
        <f aca="false">IFERROR(IF(OR(D12="",P12="",Q12="",Q12=0),"",IF(VLOOKUP(R12,Unit_Conversions!$A$5:$C$28,3,FALSE())=VLOOKUP(G12,Unit_Conversions!$A$5:$C$28,3,FALSE()),P12*VLOOKUP(G12,Unit_Conversions!$A$5:$C$28,2,FALSE())/(Q12*VLOOKUP(R12,Unit_Conversions!$A$5:$C$28,2,FALSE())),"")),"")</f>
        <v>0.244</v>
      </c>
      <c r="M12" s="92" t="n">
        <f aca="false">IFERROR(F12*L12,"")</f>
        <v>0.244</v>
      </c>
      <c r="N12" s="93" t="n">
        <f aca="false">IFERROR(J12*L12,"")</f>
        <v>0.2684</v>
      </c>
      <c r="O12" s="94" t="s">
        <v>903</v>
      </c>
      <c r="P12" s="1" t="n">
        <f aca="false">IFERROR(IF(LEFT(D12,1)="K",VLOOKUP(D12,Kit_Catalog!$A:$K,8,FALSE()),VLOOKUP(D12,Additional_Supply_Catalog!$A:$K,7,FALSE())),"")</f>
        <v>6.1</v>
      </c>
      <c r="Q12" s="1" t="n">
        <f aca="false">IFERROR(IF(LEFT(D12,1)="K",VLOOKUP(D12,Kit_Catalog!$A:$K,7,FALSE()),VLOOKUP(D12,Additional_Supply_Catalog!$A:$K,8,FALSE())),"")</f>
        <v>25</v>
      </c>
      <c r="R12" s="1" t="str">
        <f aca="false">IFERROR(IF(LEFT(D12,1)="K","rxn",VLOOKUP(D12,Additional_Supply_Catalog!$A:$K,9,FALSE())),"")</f>
        <v>tube</v>
      </c>
    </row>
    <row r="13" customFormat="false" ht="21.75" hidden="false" customHeight="true" outlineLevel="0" collapsed="false">
      <c r="A13" s="85" t="s">
        <v>895</v>
      </c>
      <c r="B13" s="85" t="s">
        <v>901</v>
      </c>
      <c r="C13" s="85" t="s">
        <v>911</v>
      </c>
      <c r="D13" s="85"/>
      <c r="E13" s="85" t="s">
        <v>11</v>
      </c>
      <c r="F13" s="86" t="n">
        <v>1</v>
      </c>
      <c r="G13" s="85" t="s">
        <v>912</v>
      </c>
      <c r="H13" s="87" t="n">
        <f aca="false">Inputs!$B$20</f>
        <v>0.1</v>
      </c>
      <c r="I13" s="88" t="n">
        <f aca="false">VLOOKUP(E13,Inputs!$D$5:$E$23,2,FALSE())</f>
        <v>6</v>
      </c>
      <c r="J13" s="89" t="n">
        <f aca="false">F13*I13*(1+H13)</f>
        <v>6.6</v>
      </c>
      <c r="K13" s="90" t="n">
        <f aca="false">IF(ISNUMBER(MATCH(G13,{"tube","each","plate","vial","kit","bottle","aliquot","strainer","cap","lane-rxn","tip","strip","lane","channel","library","sample"},0)),ROUNDUP(J13,0),ROUND(J13,2))</f>
        <v>7</v>
      </c>
      <c r="L13" s="91" t="str">
        <f aca="false">IFERROR(IF(OR(D13="",P13="",Q13="",Q13=0),"",IF(VLOOKUP(R13,Unit_Conversions!$A$5:$C$28,3,FALSE())=VLOOKUP(G13,Unit_Conversions!$A$5:$C$28,3,FALSE()),P13*VLOOKUP(G13,Unit_Conversions!$A$5:$C$28,2,FALSE())/(Q13*VLOOKUP(R13,Unit_Conversions!$A$5:$C$28,2,FALSE())),"")),"")</f>
        <v/>
      </c>
      <c r="M13" s="92" t="str">
        <f aca="false">IFERROR(F13*L13,"")</f>
        <v/>
      </c>
      <c r="N13" s="93" t="str">
        <f aca="false">IFERROR(J13*L13,"")</f>
        <v/>
      </c>
      <c r="O13" s="94" t="s">
        <v>913</v>
      </c>
      <c r="P13" s="1" t="str">
        <f aca="false">IFERROR(IF(LEFT(D13,1)="K",VLOOKUP(D13,Kit_Catalog!$A:$K,8,FALSE()),VLOOKUP(D13,Additional_Supply_Catalog!$A:$K,7,FALSE())),"")</f>
        <v/>
      </c>
      <c r="Q13" s="1" t="str">
        <f aca="false">IFERROR(IF(LEFT(D13,1)="K",VLOOKUP(D13,Kit_Catalog!$A:$K,7,FALSE()),VLOOKUP(D13,Additional_Supply_Catalog!$A:$K,8,FALSE())),"")</f>
        <v/>
      </c>
      <c r="R13" s="1" t="str">
        <f aca="false">IFERROR(IF(LEFT(D13,1)="K","rxn",VLOOKUP(D13,Additional_Supply_Catalog!$A:$K,9,FALSE())),"")</f>
        <v/>
      </c>
    </row>
    <row r="14" customFormat="false" ht="21.75" hidden="false" customHeight="true" outlineLevel="0" collapsed="false">
      <c r="A14" s="77" t="s">
        <v>914</v>
      </c>
      <c r="B14" s="77" t="s">
        <v>896</v>
      </c>
      <c r="C14" s="78" t="s">
        <v>915</v>
      </c>
      <c r="D14" s="77"/>
      <c r="E14" s="77" t="s">
        <v>898</v>
      </c>
      <c r="F14" s="79"/>
      <c r="G14" s="77" t="s">
        <v>337</v>
      </c>
      <c r="H14" s="77"/>
      <c r="I14" s="80"/>
      <c r="J14" s="81" t="n">
        <f aca="false">(14*Inputs!$B$6 + 3.1*Inputs!$B$7)*(1+Inputs!$B$20)</f>
        <v>95.81</v>
      </c>
      <c r="K14" s="82"/>
      <c r="L14" s="80"/>
      <c r="M14" s="83"/>
      <c r="N14" s="83"/>
      <c r="O14" s="84" t="s">
        <v>899</v>
      </c>
    </row>
    <row r="15" customFormat="false" ht="15" hidden="false" customHeight="true" outlineLevel="0" collapsed="false">
      <c r="A15" s="96" t="s">
        <v>914</v>
      </c>
      <c r="B15" s="96" t="s">
        <v>901</v>
      </c>
      <c r="C15" s="96" t="s">
        <v>916</v>
      </c>
      <c r="D15" s="96" t="s">
        <v>551</v>
      </c>
      <c r="E15" s="96" t="s">
        <v>11</v>
      </c>
      <c r="F15" s="97" t="n">
        <v>1</v>
      </c>
      <c r="G15" s="96" t="s">
        <v>571</v>
      </c>
      <c r="H15" s="98" t="n">
        <f aca="false">Inputs!$B$20</f>
        <v>0.1</v>
      </c>
      <c r="I15" s="99" t="n">
        <f aca="false">VLOOKUP(E15,Inputs!$D$5:$E$23,2,FALSE())</f>
        <v>6</v>
      </c>
      <c r="J15" s="100" t="n">
        <f aca="false">F15*I15*(1+H15)</f>
        <v>6.6</v>
      </c>
      <c r="K15" s="101" t="n">
        <f aca="false">IF(ISNUMBER(MATCH(G15,{"tube","each","plate","vial","kit","bottle","aliquot","strainer","cap","lane-rxn","tip","strip","lane","channel","library","sample"},0)),ROUNDUP(J15,0),ROUND(J15,2))</f>
        <v>7</v>
      </c>
      <c r="L15" s="91" t="n">
        <f aca="false">IFERROR(IF(OR(D15="",P15="",Q15="",Q15=0),"",IF(VLOOKUP(R15,Unit_Conversions!$A$5:$C$28,3,FALSE())=VLOOKUP(G15,Unit_Conversions!$A$5:$C$28,3,FALSE()),P15*VLOOKUP(G15,Unit_Conversions!$A$5:$C$28,2,FALSE())/(Q15*VLOOKUP(R15,Unit_Conversions!$A$5:$C$28,2,FALSE())),"")),"")</f>
        <v>0.17956</v>
      </c>
      <c r="M15" s="92" t="n">
        <f aca="false">IFERROR(F15*L15,"")</f>
        <v>0.17956</v>
      </c>
      <c r="N15" s="93" t="n">
        <f aca="false">IFERROR(J15*L15,"")</f>
        <v>1.185096</v>
      </c>
      <c r="O15" s="102"/>
      <c r="P15" s="1" t="n">
        <f aca="false">IFERROR(IF(LEFT(D15,1)="K",VLOOKUP(D15,Kit_Catalog!$A:$K,8,FALSE()),VLOOKUP(D15,Additional_Supply_Catalog!$A:$K,7,FALSE())),"")</f>
        <v>44.89</v>
      </c>
      <c r="Q15" s="1" t="n">
        <f aca="false">IFERROR(IF(LEFT(D15,1)="K",VLOOKUP(D15,Kit_Catalog!$A:$K,7,FALSE()),VLOOKUP(D15,Additional_Supply_Catalog!$A:$K,8,FALSE())),"")</f>
        <v>250</v>
      </c>
      <c r="R15" s="1" t="str">
        <f aca="false">IFERROR(IF(LEFT(D15,1)="K","rxn",VLOOKUP(D15,Additional_Supply_Catalog!$A:$K,9,FALSE())),"")</f>
        <v>tube</v>
      </c>
    </row>
    <row r="16" customFormat="false" ht="15" hidden="false" customHeight="true" outlineLevel="0" collapsed="false">
      <c r="A16" s="96" t="s">
        <v>914</v>
      </c>
      <c r="B16" s="96" t="s">
        <v>901</v>
      </c>
      <c r="C16" s="96" t="s">
        <v>910</v>
      </c>
      <c r="D16" s="96" t="s">
        <v>555</v>
      </c>
      <c r="E16" s="96" t="s">
        <v>11</v>
      </c>
      <c r="F16" s="97" t="n">
        <v>1</v>
      </c>
      <c r="G16" s="96" t="s">
        <v>548</v>
      </c>
      <c r="H16" s="98" t="n">
        <f aca="false">Inputs!$B$20</f>
        <v>0.1</v>
      </c>
      <c r="I16" s="99" t="n">
        <f aca="false">VLOOKUP(E16,Inputs!$D$5:$E$23,2,FALSE())</f>
        <v>6</v>
      </c>
      <c r="J16" s="100" t="n">
        <f aca="false">F16*I16*(1+H16)</f>
        <v>6.6</v>
      </c>
      <c r="K16" s="101" t="n">
        <f aca="false">IF(ISNUMBER(MATCH(G16,{"tube","each","plate","vial","kit","bottle","aliquot","strainer","cap","lane-rxn","tip","strip","lane","channel","library","sample"},0)),ROUNDUP(J16,0),ROUND(J16,2))</f>
        <v>7</v>
      </c>
      <c r="L16" s="91" t="n">
        <f aca="false">IFERROR(IF(OR(D16="",P16="",Q16="",Q16=0),"",IF(VLOOKUP(R16,Unit_Conversions!$A$5:$C$28,3,FALSE())=VLOOKUP(G16,Unit_Conversions!$A$5:$C$28,3,FALSE()),P16*VLOOKUP(G16,Unit_Conversions!$A$5:$C$28,2,FALSE())/(Q16*VLOOKUP(R16,Unit_Conversions!$A$5:$C$28,2,FALSE())),"")),"")</f>
        <v>0.244</v>
      </c>
      <c r="M16" s="92" t="n">
        <f aca="false">IFERROR(F16*L16,"")</f>
        <v>0.244</v>
      </c>
      <c r="N16" s="93" t="n">
        <f aca="false">IFERROR(J16*L16,"")</f>
        <v>1.6104</v>
      </c>
      <c r="O16" s="102" t="s">
        <v>903</v>
      </c>
      <c r="P16" s="1" t="n">
        <f aca="false">IFERROR(IF(LEFT(D16,1)="K",VLOOKUP(D16,Kit_Catalog!$A:$K,8,FALSE()),VLOOKUP(D16,Additional_Supply_Catalog!$A:$K,7,FALSE())),"")</f>
        <v>6.1</v>
      </c>
      <c r="Q16" s="1" t="n">
        <f aca="false">IFERROR(IF(LEFT(D16,1)="K",VLOOKUP(D16,Kit_Catalog!$A:$K,7,FALSE()),VLOOKUP(D16,Additional_Supply_Catalog!$A:$K,8,FALSE())),"")</f>
        <v>25</v>
      </c>
      <c r="R16" s="1" t="str">
        <f aca="false">IFERROR(IF(LEFT(D16,1)="K","rxn",VLOOKUP(D16,Additional_Supply_Catalog!$A:$K,9,FALSE())),"")</f>
        <v>tube</v>
      </c>
    </row>
    <row r="17" customFormat="false" ht="15" hidden="false" customHeight="true" outlineLevel="0" collapsed="false">
      <c r="A17" s="96" t="s">
        <v>914</v>
      </c>
      <c r="B17" s="96" t="s">
        <v>901</v>
      </c>
      <c r="C17" s="96" t="s">
        <v>574</v>
      </c>
      <c r="D17" s="96" t="s">
        <v>573</v>
      </c>
      <c r="E17" s="96" t="s">
        <v>11</v>
      </c>
      <c r="F17" s="97" t="n">
        <v>1</v>
      </c>
      <c r="G17" s="96" t="s">
        <v>373</v>
      </c>
      <c r="H17" s="98" t="n">
        <f aca="false">Inputs!$B$20</f>
        <v>0.1</v>
      </c>
      <c r="I17" s="99" t="n">
        <f aca="false">VLOOKUP(E17,Inputs!$D$5:$E$23,2,FALSE())</f>
        <v>6</v>
      </c>
      <c r="J17" s="100" t="n">
        <f aca="false">F17*I17*(1+H17)</f>
        <v>6.6</v>
      </c>
      <c r="K17" s="101" t="n">
        <f aca="false">IF(ISNUMBER(MATCH(G17,{"tube","each","plate","vial","kit","bottle","aliquot","strainer","cap","lane-rxn","tip","strip","lane","channel","library","sample"},0)),ROUNDUP(J17,0),ROUND(J17,2))</f>
        <v>7</v>
      </c>
      <c r="L17" s="91" t="n">
        <f aca="false">IFERROR(IF(OR(D17="",P17="",Q17="",Q17=0),"",IF(VLOOKUP(R17,Unit_Conversions!$A$5:$C$28,3,FALSE())=VLOOKUP(G17,Unit_Conversions!$A$5:$C$28,3,FALSE()),P17*VLOOKUP(G17,Unit_Conversions!$A$5:$C$28,2,FALSE())/(Q17*VLOOKUP(R17,Unit_Conversions!$A$5:$C$28,2,FALSE())),"")),"")</f>
        <v>2.28</v>
      </c>
      <c r="M17" s="92" t="n">
        <f aca="false">IFERROR(F17*L17,"")</f>
        <v>2.28</v>
      </c>
      <c r="N17" s="93" t="n">
        <f aca="false">IFERROR(J17*L17,"")</f>
        <v>15.048</v>
      </c>
      <c r="O17" s="102"/>
      <c r="P17" s="1" t="n">
        <f aca="false">IFERROR(IF(LEFT(D17,1)="K",VLOOKUP(D17,Kit_Catalog!$A:$K,8,FALSE()),VLOOKUP(D17,Additional_Supply_Catalog!$A:$K,7,FALSE())),"")</f>
        <v>114</v>
      </c>
      <c r="Q17" s="1" t="n">
        <f aca="false">IFERROR(IF(LEFT(D17,1)="K",VLOOKUP(D17,Kit_Catalog!$A:$K,7,FALSE()),VLOOKUP(D17,Additional_Supply_Catalog!$A:$K,8,FALSE())),"")</f>
        <v>50</v>
      </c>
      <c r="R17" s="1" t="str">
        <f aca="false">IFERROR(IF(LEFT(D17,1)="K","rxn",VLOOKUP(D17,Additional_Supply_Catalog!$A:$K,9,FALSE())),"")</f>
        <v>each</v>
      </c>
    </row>
    <row r="18" customFormat="false" ht="15" hidden="false" customHeight="true" outlineLevel="0" collapsed="false">
      <c r="A18" s="96" t="s">
        <v>914</v>
      </c>
      <c r="B18" s="96" t="s">
        <v>901</v>
      </c>
      <c r="C18" s="96" t="s">
        <v>917</v>
      </c>
      <c r="D18" s="96" t="s">
        <v>584</v>
      </c>
      <c r="E18" s="96" t="s">
        <v>11</v>
      </c>
      <c r="F18" s="97" t="n">
        <v>1</v>
      </c>
      <c r="G18" s="96" t="s">
        <v>548</v>
      </c>
      <c r="H18" s="98" t="n">
        <f aca="false">Inputs!$B$20</f>
        <v>0.1</v>
      </c>
      <c r="I18" s="99" t="n">
        <f aca="false">VLOOKUP(E18,Inputs!$D$5:$E$23,2,FALSE())</f>
        <v>6</v>
      </c>
      <c r="J18" s="100" t="n">
        <f aca="false">F18*I18*(1+H18)</f>
        <v>6.6</v>
      </c>
      <c r="K18" s="101" t="n">
        <f aca="false">IF(ISNUMBER(MATCH(G18,{"tube","each","plate","vial","kit","bottle","aliquot","strainer","cap","lane-rxn","tip","strip","lane","channel","library","sample"},0)),ROUNDUP(J18,0),ROUND(J18,2))</f>
        <v>7</v>
      </c>
      <c r="L18" s="91" t="str">
        <f aca="false">IFERROR(IF(OR(D18="",P18="",Q18="",Q18=0),"",IF(VLOOKUP(R18,Unit_Conversions!$A$5:$C$28,3,FALSE())=VLOOKUP(G18,Unit_Conversions!$A$5:$C$28,3,FALSE()),P18*VLOOKUP(G18,Unit_Conversions!$A$5:$C$28,2,FALSE())/(Q18*VLOOKUP(R18,Unit_Conversions!$A$5:$C$28,2,FALSE())),"")),"")</f>
        <v/>
      </c>
      <c r="M18" s="92" t="str">
        <f aca="false">IFERROR(F18*L18,"")</f>
        <v/>
      </c>
      <c r="N18" s="93" t="str">
        <f aca="false">IFERROR(J18*L18,"")</f>
        <v/>
      </c>
      <c r="O18" s="102" t="s">
        <v>903</v>
      </c>
      <c r="P18" s="1" t="n">
        <f aca="false">IFERROR(IF(LEFT(D18,1)="K",VLOOKUP(D18,Kit_Catalog!$A:$K,8,FALSE()),VLOOKUP(D18,Additional_Supply_Catalog!$A:$K,7,FALSE())),"")</f>
        <v>19.16</v>
      </c>
      <c r="Q18" s="1" t="n">
        <f aca="false">IFERROR(IF(LEFT(D18,1)="K",VLOOKUP(D18,Kit_Catalog!$A:$K,7,FALSE()),VLOOKUP(D18,Additional_Supply_Catalog!$A:$K,8,FALSE())),"")</f>
        <v>12</v>
      </c>
      <c r="R18" s="1" t="n">
        <f aca="false">IFERROR(IF(LEFT(D18,1)="K","rxn",VLOOKUP(D18,Additional_Supply_Catalog!$A:$K,9,FALSE())),"")</f>
        <v>0</v>
      </c>
    </row>
    <row r="19" customFormat="false" ht="15" hidden="false" customHeight="true" outlineLevel="0" collapsed="false">
      <c r="A19" s="96" t="s">
        <v>914</v>
      </c>
      <c r="B19" s="96" t="s">
        <v>901</v>
      </c>
      <c r="C19" s="96" t="s">
        <v>918</v>
      </c>
      <c r="D19" s="96" t="s">
        <v>428</v>
      </c>
      <c r="E19" s="96" t="s">
        <v>11</v>
      </c>
      <c r="F19" s="97" t="n">
        <v>2</v>
      </c>
      <c r="G19" s="96" t="s">
        <v>397</v>
      </c>
      <c r="H19" s="98" t="n">
        <f aca="false">Inputs!$B$20</f>
        <v>0.1</v>
      </c>
      <c r="I19" s="99" t="n">
        <f aca="false">VLOOKUP(E19,Inputs!$D$5:$E$23,2,FALSE())</f>
        <v>6</v>
      </c>
      <c r="J19" s="100" t="n">
        <f aca="false">F19*I19*(1+H19)</f>
        <v>13.2</v>
      </c>
      <c r="K19" s="101" t="n">
        <f aca="false">IF(ISNUMBER(MATCH(G19,{"tube","each","plate","vial","kit","bottle","aliquot","strainer","cap","lane-rxn","tip","strip","lane","channel","library","sample"},0)),ROUNDUP(J19,0),ROUND(J19,2))</f>
        <v>13.2</v>
      </c>
      <c r="L19" s="91" t="n">
        <f aca="false">IFERROR(IF(OR(D19="",P19="",Q19="",Q19=0),"",IF(VLOOKUP(R19,Unit_Conversions!$A$5:$C$28,3,FALSE())=VLOOKUP(G19,Unit_Conversions!$A$5:$C$28,3,FALSE()),P19*VLOOKUP(G19,Unit_Conversions!$A$5:$C$28,2,FALSE())/(Q19*VLOOKUP(R19,Unit_Conversions!$A$5:$C$28,2,FALSE())),"")),"")</f>
        <v>25.85</v>
      </c>
      <c r="M19" s="92" t="n">
        <f aca="false">IFERROR(F19*L19,"")</f>
        <v>51.7</v>
      </c>
      <c r="N19" s="93" t="n">
        <f aca="false">IFERROR(J19*L19,"")</f>
        <v>341.22</v>
      </c>
      <c r="O19" s="102"/>
      <c r="P19" s="1" t="n">
        <f aca="false">IFERROR(IF(LEFT(D19,1)="K",VLOOKUP(D19,Kit_Catalog!$A:$K,8,FALSE()),VLOOKUP(D19,Additional_Supply_Catalog!$A:$K,7,FALSE())),"")</f>
        <v>517</v>
      </c>
      <c r="Q19" s="1" t="n">
        <f aca="false">IFERROR(IF(LEFT(D19,1)="K",VLOOKUP(D19,Kit_Catalog!$A:$K,7,FALSE()),VLOOKUP(D19,Additional_Supply_Catalog!$A:$K,8,FALSE())),"")</f>
        <v>20</v>
      </c>
      <c r="R19" s="1" t="str">
        <f aca="false">IFERROR(IF(LEFT(D19,1)="K","rxn",VLOOKUP(D19,Additional_Supply_Catalog!$A:$K,9,FALSE())),"")</f>
        <v>uL</v>
      </c>
    </row>
    <row r="20" customFormat="false" ht="15" hidden="false" customHeight="true" outlineLevel="0" collapsed="false">
      <c r="A20" s="96" t="s">
        <v>914</v>
      </c>
      <c r="B20" s="96" t="s">
        <v>901</v>
      </c>
      <c r="C20" s="96" t="s">
        <v>919</v>
      </c>
      <c r="D20" s="96" t="s">
        <v>431</v>
      </c>
      <c r="E20" s="96" t="s">
        <v>11</v>
      </c>
      <c r="F20" s="97" t="n">
        <v>10</v>
      </c>
      <c r="G20" s="96" t="s">
        <v>397</v>
      </c>
      <c r="H20" s="98" t="n">
        <f aca="false">Inputs!$B$20</f>
        <v>0.1</v>
      </c>
      <c r="I20" s="99" t="n">
        <f aca="false">VLOOKUP(E20,Inputs!$D$5:$E$23,2,FALSE())</f>
        <v>6</v>
      </c>
      <c r="J20" s="100" t="n">
        <f aca="false">F20*I20*(1+H20)</f>
        <v>66</v>
      </c>
      <c r="K20" s="101" t="n">
        <f aca="false">IF(ISNUMBER(MATCH(G20,{"tube","each","plate","vial","kit","bottle","aliquot","strainer","cap","lane-rxn","tip","strip","lane","channel","library","sample"},0)),ROUNDUP(J20,0),ROUND(J20,2))</f>
        <v>66</v>
      </c>
      <c r="L20" s="91" t="n">
        <f aca="false">IFERROR(IF(OR(D20="",P20="",Q20="",Q20=0),"",IF(VLOOKUP(R20,Unit_Conversions!$A$5:$C$28,3,FALSE())=VLOOKUP(G20,Unit_Conversions!$A$5:$C$28,3,FALSE()),P20*VLOOKUP(G20,Unit_Conversions!$A$5:$C$28,2,FALSE())/(Q20*VLOOKUP(R20,Unit_Conversions!$A$5:$C$28,2,FALSE())),"")),"")</f>
        <v>0.229</v>
      </c>
      <c r="M20" s="92" t="n">
        <f aca="false">IFERROR(F20*L20,"")</f>
        <v>2.29</v>
      </c>
      <c r="N20" s="93" t="n">
        <f aca="false">IFERROR(J20*L20,"")</f>
        <v>15.114</v>
      </c>
      <c r="O20" s="102"/>
      <c r="P20" s="1" t="n">
        <f aca="false">IFERROR(IF(LEFT(D20,1)="K",VLOOKUP(D20,Kit_Catalog!$A:$K,8,FALSE()),VLOOKUP(D20,Additional_Supply_Catalog!$A:$K,7,FALSE())),"")</f>
        <v>229</v>
      </c>
      <c r="Q20" s="1" t="n">
        <f aca="false">IFERROR(IF(LEFT(D20,1)="K",VLOOKUP(D20,Kit_Catalog!$A:$K,7,FALSE()),VLOOKUP(D20,Additional_Supply_Catalog!$A:$K,8,FALSE())),"")</f>
        <v>1000</v>
      </c>
      <c r="R20" s="1" t="str">
        <f aca="false">IFERROR(IF(LEFT(D20,1)="K","rxn",VLOOKUP(D20,Additional_Supply_Catalog!$A:$K,9,FALSE())),"")</f>
        <v>uL</v>
      </c>
    </row>
    <row r="21" customFormat="false" ht="15" hidden="false" customHeight="true" outlineLevel="0" collapsed="false">
      <c r="A21" s="96" t="s">
        <v>914</v>
      </c>
      <c r="B21" s="96" t="s">
        <v>901</v>
      </c>
      <c r="C21" s="96" t="s">
        <v>468</v>
      </c>
      <c r="D21" s="96" t="s">
        <v>466</v>
      </c>
      <c r="E21" s="96" t="s">
        <v>11</v>
      </c>
      <c r="F21" s="97" t="n">
        <v>0.38</v>
      </c>
      <c r="G21" s="96" t="s">
        <v>404</v>
      </c>
      <c r="H21" s="98" t="n">
        <f aca="false">Inputs!$B$20</f>
        <v>0.1</v>
      </c>
      <c r="I21" s="99" t="n">
        <f aca="false">VLOOKUP(E21,Inputs!$D$5:$E$23,2,FALSE())</f>
        <v>6</v>
      </c>
      <c r="J21" s="100" t="n">
        <f aca="false">F21*I21*(1+H21)</f>
        <v>2.508</v>
      </c>
      <c r="K21" s="101" t="n">
        <f aca="false">IF(ISNUMBER(MATCH(G21,{"tube","each","plate","vial","kit","bottle","aliquot","strainer","cap","lane-rxn","tip","strip","lane","channel","library","sample"},0)),ROUNDUP(J21,0),ROUND(J21,2))</f>
        <v>2.51</v>
      </c>
      <c r="L21" s="91" t="n">
        <f aca="false">IFERROR(IF(OR(D21="",P21="",Q21="",Q21=0),"",IF(VLOOKUP(R21,Unit_Conversions!$A$5:$C$28,3,FALSE())=VLOOKUP(G21,Unit_Conversions!$A$5:$C$28,3,FALSE()),P21*VLOOKUP(G21,Unit_Conversions!$A$5:$C$28,2,FALSE())/(Q21*VLOOKUP(R21,Unit_Conversions!$A$5:$C$28,2,FALSE())),"")),"")</f>
        <v>4.152</v>
      </c>
      <c r="M21" s="92" t="n">
        <f aca="false">IFERROR(F21*L21,"")</f>
        <v>1.57776</v>
      </c>
      <c r="N21" s="93" t="n">
        <f aca="false">IFERROR(J21*L21,"")</f>
        <v>10.413216</v>
      </c>
      <c r="O21" s="102" t="s">
        <v>920</v>
      </c>
      <c r="P21" s="1" t="n">
        <f aca="false">IFERROR(IF(LEFT(D21,1)="K",VLOOKUP(D21,Kit_Catalog!$A:$K,8,FALSE()),VLOOKUP(D21,Additional_Supply_Catalog!$A:$K,7,FALSE())),"")</f>
        <v>103.8</v>
      </c>
      <c r="Q21" s="1" t="n">
        <f aca="false">IFERROR(IF(LEFT(D21,1)="K",VLOOKUP(D21,Kit_Catalog!$A:$K,7,FALSE()),VLOOKUP(D21,Additional_Supply_Catalog!$A:$K,8,FALSE())),"")</f>
        <v>25</v>
      </c>
      <c r="R21" s="1" t="str">
        <f aca="false">IFERROR(IF(LEFT(D21,1)="K","rxn",VLOOKUP(D21,Additional_Supply_Catalog!$A:$K,9,FALSE())),"")</f>
        <v>g</v>
      </c>
    </row>
    <row r="22" customFormat="false" ht="15" hidden="false" customHeight="true" outlineLevel="0" collapsed="false">
      <c r="A22" s="96" t="s">
        <v>914</v>
      </c>
      <c r="B22" s="96" t="s">
        <v>901</v>
      </c>
      <c r="C22" s="96" t="s">
        <v>921</v>
      </c>
      <c r="D22" s="96" t="s">
        <v>339</v>
      </c>
      <c r="E22" s="96" t="s">
        <v>11</v>
      </c>
      <c r="F22" s="97" t="n">
        <v>19</v>
      </c>
      <c r="G22" s="96" t="s">
        <v>337</v>
      </c>
      <c r="H22" s="98" t="n">
        <f aca="false">Inputs!$B$20</f>
        <v>0.1</v>
      </c>
      <c r="I22" s="99" t="n">
        <f aca="false">VLOOKUP(E22,Inputs!$D$5:$E$23,2,FALSE())</f>
        <v>6</v>
      </c>
      <c r="J22" s="100" t="n">
        <f aca="false">F22*I22*(1+H22)</f>
        <v>125.4</v>
      </c>
      <c r="K22" s="101" t="n">
        <f aca="false">IF(ISNUMBER(MATCH(G22,{"tube","each","plate","vial","kit","bottle","aliquot","strainer","cap","lane-rxn","tip","strip","lane","channel","library","sample"},0)),ROUNDUP(J22,0),ROUND(J22,2))</f>
        <v>125.4</v>
      </c>
      <c r="L22" s="91" t="n">
        <f aca="false">IFERROR(IF(OR(D22="",P22="",Q22="",Q22=0),"",IF(VLOOKUP(R22,Unit_Conversions!$A$5:$C$28,3,FALSE())=VLOOKUP(G22,Unit_Conversions!$A$5:$C$28,3,FALSE()),P22*VLOOKUP(G22,Unit_Conversions!$A$5:$C$28,2,FALSE())/(Q22*VLOOKUP(R22,Unit_Conversions!$A$5:$C$28,2,FALSE())),"")),"")</f>
        <v>0.03804</v>
      </c>
      <c r="M22" s="92" t="n">
        <f aca="false">IFERROR(F22*L22,"")</f>
        <v>0.72276</v>
      </c>
      <c r="N22" s="93" t="n">
        <f aca="false">IFERROR(J22*L22,"")</f>
        <v>4.770216</v>
      </c>
      <c r="O22" s="102"/>
      <c r="P22" s="1" t="n">
        <f aca="false">IFERROR(IF(LEFT(D22,1)="K",VLOOKUP(D22,Kit_Catalog!$A:$K,8,FALSE()),VLOOKUP(D22,Additional_Supply_Catalog!$A:$K,7,FALSE())),"")</f>
        <v>19.02</v>
      </c>
      <c r="Q22" s="1" t="n">
        <f aca="false">IFERROR(IF(LEFT(D22,1)="K",VLOOKUP(D22,Kit_Catalog!$A:$K,7,FALSE()),VLOOKUP(D22,Additional_Supply_Catalog!$A:$K,8,FALSE())),"")</f>
        <v>500</v>
      </c>
      <c r="R22" s="1" t="str">
        <f aca="false">IFERROR(IF(LEFT(D22,1)="K","rxn",VLOOKUP(D22,Additional_Supply_Catalog!$A:$K,9,FALSE())),"")</f>
        <v>mL</v>
      </c>
    </row>
    <row r="23" customFormat="false" ht="15" hidden="false" customHeight="true" outlineLevel="0" collapsed="false">
      <c r="A23" s="96" t="s">
        <v>914</v>
      </c>
      <c r="B23" s="96" t="s">
        <v>901</v>
      </c>
      <c r="C23" s="96" t="s">
        <v>922</v>
      </c>
      <c r="D23" s="96" t="s">
        <v>421</v>
      </c>
      <c r="E23" s="96" t="s">
        <v>13</v>
      </c>
      <c r="F23" s="97" t="n">
        <v>3</v>
      </c>
      <c r="G23" s="96" t="s">
        <v>418</v>
      </c>
      <c r="H23" s="98" t="n">
        <f aca="false">Inputs!$B$20</f>
        <v>0.1</v>
      </c>
      <c r="I23" s="99" t="n">
        <f aca="false">VLOOKUP(E23,Inputs!$D$5:$E$23,2,FALSE())</f>
        <v>1</v>
      </c>
      <c r="J23" s="100" t="n">
        <f aca="false">F23*I23*(1+H23)</f>
        <v>3.3</v>
      </c>
      <c r="K23" s="101" t="n">
        <f aca="false">IF(ISNUMBER(MATCH(G23,{"tube","each","plate","vial","kit","bottle","aliquot","strainer","cap","lane-rxn","tip","strip","lane","channel","library","sample"},0)),ROUNDUP(J23,0),ROUND(J23,2))</f>
        <v>4</v>
      </c>
      <c r="L23" s="91" t="n">
        <f aca="false">IFERROR(IF(OR(D23="",P23="",Q23="",Q23=0),"",IF(VLOOKUP(R23,Unit_Conversions!$A$5:$C$28,3,FALSE())=VLOOKUP(G23,Unit_Conversions!$A$5:$C$28,3,FALSE()),P23*VLOOKUP(G23,Unit_Conversions!$A$5:$C$28,2,FALSE())/(Q23*VLOOKUP(R23,Unit_Conversions!$A$5:$C$28,2,FALSE())),"")),"")</f>
        <v>909.3</v>
      </c>
      <c r="M23" s="92" t="n">
        <f aca="false">IFERROR(F23*L23,"")</f>
        <v>2727.9</v>
      </c>
      <c r="N23" s="93" t="n">
        <f aca="false">IFERROR(J23*L23,"")</f>
        <v>3000.69</v>
      </c>
      <c r="O23" s="102"/>
      <c r="P23" s="1" t="n">
        <f aca="false">IFERROR(IF(LEFT(D23,1)="K",VLOOKUP(D23,Kit_Catalog!$A:$K,8,FALSE()),VLOOKUP(D23,Additional_Supply_Catalog!$A:$K,7,FALSE())),"")</f>
        <v>4546.5</v>
      </c>
      <c r="Q23" s="1" t="n">
        <f aca="false">IFERROR(IF(LEFT(D23,1)="K",VLOOKUP(D23,Kit_Catalog!$A:$K,7,FALSE()),VLOOKUP(D23,Additional_Supply_Catalog!$A:$K,8,FALSE())),"")</f>
        <v>5</v>
      </c>
      <c r="R23" s="1" t="str">
        <f aca="false">IFERROR(IF(LEFT(D23,1)="K","rxn",VLOOKUP(D23,Additional_Supply_Catalog!$A:$K,9,FALSE())),"")</f>
        <v>vial</v>
      </c>
    </row>
    <row r="24" customFormat="false" ht="15" hidden="false" customHeight="true" outlineLevel="0" collapsed="false">
      <c r="A24" s="96" t="s">
        <v>914</v>
      </c>
      <c r="B24" s="96" t="s">
        <v>901</v>
      </c>
      <c r="C24" s="96" t="s">
        <v>921</v>
      </c>
      <c r="D24" s="96" t="s">
        <v>339</v>
      </c>
      <c r="E24" s="96" t="s">
        <v>13</v>
      </c>
      <c r="F24" s="97" t="n">
        <v>9</v>
      </c>
      <c r="G24" s="96" t="s">
        <v>337</v>
      </c>
      <c r="H24" s="98" t="n">
        <f aca="false">Inputs!$B$20</f>
        <v>0.1</v>
      </c>
      <c r="I24" s="99" t="n">
        <f aca="false">VLOOKUP(E24,Inputs!$D$5:$E$23,2,FALSE())</f>
        <v>1</v>
      </c>
      <c r="J24" s="100" t="n">
        <f aca="false">F24*I24*(1+H24)</f>
        <v>9.9</v>
      </c>
      <c r="K24" s="101" t="n">
        <f aca="false">IF(ISNUMBER(MATCH(G24,{"tube","each","plate","vial","kit","bottle","aliquot","strainer","cap","lane-rxn","tip","strip","lane","channel","library","sample"},0)),ROUNDUP(J24,0),ROUND(J24,2))</f>
        <v>9.9</v>
      </c>
      <c r="L24" s="91" t="n">
        <f aca="false">IFERROR(IF(OR(D24="",P24="",Q24="",Q24=0),"",IF(VLOOKUP(R24,Unit_Conversions!$A$5:$C$28,3,FALSE())=VLOOKUP(G24,Unit_Conversions!$A$5:$C$28,3,FALSE()),P24*VLOOKUP(G24,Unit_Conversions!$A$5:$C$28,2,FALSE())/(Q24*VLOOKUP(R24,Unit_Conversions!$A$5:$C$28,2,FALSE())),"")),"")</f>
        <v>0.03804</v>
      </c>
      <c r="M24" s="92" t="n">
        <f aca="false">IFERROR(F24*L24,"")</f>
        <v>0.34236</v>
      </c>
      <c r="N24" s="93" t="n">
        <f aca="false">IFERROR(J24*L24,"")</f>
        <v>0.376596</v>
      </c>
      <c r="O24" s="102"/>
      <c r="P24" s="1" t="n">
        <f aca="false">IFERROR(IF(LEFT(D24,1)="K",VLOOKUP(D24,Kit_Catalog!$A:$K,8,FALSE()),VLOOKUP(D24,Additional_Supply_Catalog!$A:$K,7,FALSE())),"")</f>
        <v>19.02</v>
      </c>
      <c r="Q24" s="1" t="n">
        <f aca="false">IFERROR(IF(LEFT(D24,1)="K",VLOOKUP(D24,Kit_Catalog!$A:$K,7,FALSE()),VLOOKUP(D24,Additional_Supply_Catalog!$A:$K,8,FALSE())),"")</f>
        <v>500</v>
      </c>
      <c r="R24" s="1" t="str">
        <f aca="false">IFERROR(IF(LEFT(D24,1)="K","rxn",VLOOKUP(D24,Additional_Supply_Catalog!$A:$K,9,FALSE())),"")</f>
        <v>mL</v>
      </c>
    </row>
    <row r="25" customFormat="false" ht="15" hidden="false" customHeight="true" outlineLevel="0" collapsed="false">
      <c r="A25" s="96" t="s">
        <v>914</v>
      </c>
      <c r="B25" s="96" t="s">
        <v>901</v>
      </c>
      <c r="C25" s="96" t="s">
        <v>468</v>
      </c>
      <c r="D25" s="96" t="s">
        <v>466</v>
      </c>
      <c r="E25" s="96" t="s">
        <v>13</v>
      </c>
      <c r="F25" s="97" t="n">
        <v>0.18</v>
      </c>
      <c r="G25" s="96" t="s">
        <v>404</v>
      </c>
      <c r="H25" s="98" t="n">
        <f aca="false">Inputs!$B$20</f>
        <v>0.1</v>
      </c>
      <c r="I25" s="99" t="n">
        <f aca="false">VLOOKUP(E25,Inputs!$D$5:$E$23,2,FALSE())</f>
        <v>1</v>
      </c>
      <c r="J25" s="100" t="n">
        <f aca="false">F25*I25*(1+H25)</f>
        <v>0.198</v>
      </c>
      <c r="K25" s="101" t="n">
        <f aca="false">IF(ISNUMBER(MATCH(G25,{"tube","each","plate","vial","kit","bottle","aliquot","strainer","cap","lane-rxn","tip","strip","lane","channel","library","sample"},0)),ROUNDUP(J25,0),ROUND(J25,2))</f>
        <v>0.2</v>
      </c>
      <c r="L25" s="91" t="n">
        <f aca="false">IFERROR(IF(OR(D25="",P25="",Q25="",Q25=0),"",IF(VLOOKUP(R25,Unit_Conversions!$A$5:$C$28,3,FALSE())=VLOOKUP(G25,Unit_Conversions!$A$5:$C$28,3,FALSE()),P25*VLOOKUP(G25,Unit_Conversions!$A$5:$C$28,2,FALSE())/(Q25*VLOOKUP(R25,Unit_Conversions!$A$5:$C$28,2,FALSE())),"")),"")</f>
        <v>4.152</v>
      </c>
      <c r="M25" s="92" t="n">
        <f aca="false">IFERROR(F25*L25,"")</f>
        <v>0.74736</v>
      </c>
      <c r="N25" s="93" t="n">
        <f aca="false">IFERROR(J25*L25,"")</f>
        <v>0.822096</v>
      </c>
      <c r="O25" s="102" t="s">
        <v>923</v>
      </c>
      <c r="P25" s="1" t="n">
        <f aca="false">IFERROR(IF(LEFT(D25,1)="K",VLOOKUP(D25,Kit_Catalog!$A:$K,8,FALSE()),VLOOKUP(D25,Additional_Supply_Catalog!$A:$K,7,FALSE())),"")</f>
        <v>103.8</v>
      </c>
      <c r="Q25" s="1" t="n">
        <f aca="false">IFERROR(IF(LEFT(D25,1)="K",VLOOKUP(D25,Kit_Catalog!$A:$K,7,FALSE()),VLOOKUP(D25,Additional_Supply_Catalog!$A:$K,8,FALSE())),"")</f>
        <v>25</v>
      </c>
      <c r="R25" s="1" t="str">
        <f aca="false">IFERROR(IF(LEFT(D25,1)="K","rxn",VLOOKUP(D25,Additional_Supply_Catalog!$A:$K,9,FALSE())),"")</f>
        <v>g</v>
      </c>
    </row>
    <row r="26" customFormat="false" ht="15" hidden="false" customHeight="true" outlineLevel="0" collapsed="false">
      <c r="A26" s="96" t="s">
        <v>914</v>
      </c>
      <c r="B26" s="96" t="s">
        <v>901</v>
      </c>
      <c r="C26" s="96" t="s">
        <v>916</v>
      </c>
      <c r="D26" s="96" t="s">
        <v>551</v>
      </c>
      <c r="E26" s="96" t="s">
        <v>13</v>
      </c>
      <c r="F26" s="97" t="n">
        <v>1</v>
      </c>
      <c r="G26" s="96" t="s">
        <v>548</v>
      </c>
      <c r="H26" s="98" t="n">
        <f aca="false">Inputs!$B$20</f>
        <v>0.1</v>
      </c>
      <c r="I26" s="99" t="n">
        <f aca="false">VLOOKUP(E26,Inputs!$D$5:$E$23,2,FALSE())</f>
        <v>1</v>
      </c>
      <c r="J26" s="100" t="n">
        <f aca="false">F26*I26*(1+H26)</f>
        <v>1.1</v>
      </c>
      <c r="K26" s="101" t="n">
        <f aca="false">IF(ISNUMBER(MATCH(G26,{"tube","each","plate","vial","kit","bottle","aliquot","strainer","cap","lane-rxn","tip","strip","lane","channel","library","sample"},0)),ROUNDUP(J26,0),ROUND(J26,2))</f>
        <v>2</v>
      </c>
      <c r="L26" s="91" t="n">
        <f aca="false">IFERROR(IF(OR(D26="",P26="",Q26="",Q26=0),"",IF(VLOOKUP(R26,Unit_Conversions!$A$5:$C$28,3,FALSE())=VLOOKUP(G26,Unit_Conversions!$A$5:$C$28,3,FALSE()),P26*VLOOKUP(G26,Unit_Conversions!$A$5:$C$28,2,FALSE())/(Q26*VLOOKUP(R26,Unit_Conversions!$A$5:$C$28,2,FALSE())),"")),"")</f>
        <v>0.17956</v>
      </c>
      <c r="M26" s="92" t="n">
        <f aca="false">IFERROR(F26*L26,"")</f>
        <v>0.17956</v>
      </c>
      <c r="N26" s="93" t="n">
        <f aca="false">IFERROR(J26*L26,"")</f>
        <v>0.197516</v>
      </c>
      <c r="O26" s="102"/>
      <c r="P26" s="1" t="n">
        <f aca="false">IFERROR(IF(LEFT(D26,1)="K",VLOOKUP(D26,Kit_Catalog!$A:$K,8,FALSE()),VLOOKUP(D26,Additional_Supply_Catalog!$A:$K,7,FALSE())),"")</f>
        <v>44.89</v>
      </c>
      <c r="Q26" s="1" t="n">
        <f aca="false">IFERROR(IF(LEFT(D26,1)="K",VLOOKUP(D26,Kit_Catalog!$A:$K,7,FALSE()),VLOOKUP(D26,Additional_Supply_Catalog!$A:$K,8,FALSE())),"")</f>
        <v>250</v>
      </c>
      <c r="R26" s="1" t="str">
        <f aca="false">IFERROR(IF(LEFT(D26,1)="K","rxn",VLOOKUP(D26,Additional_Supply_Catalog!$A:$K,9,FALSE())),"")</f>
        <v>tube</v>
      </c>
    </row>
    <row r="27" customFormat="false" ht="15" hidden="false" customHeight="true" outlineLevel="0" collapsed="false">
      <c r="A27" s="96" t="s">
        <v>914</v>
      </c>
      <c r="B27" s="96" t="s">
        <v>901</v>
      </c>
      <c r="C27" s="96" t="s">
        <v>910</v>
      </c>
      <c r="D27" s="96" t="s">
        <v>555</v>
      </c>
      <c r="E27" s="96" t="s">
        <v>13</v>
      </c>
      <c r="F27" s="97" t="n">
        <v>1</v>
      </c>
      <c r="G27" s="96" t="s">
        <v>548</v>
      </c>
      <c r="H27" s="98" t="n">
        <f aca="false">Inputs!$B$20</f>
        <v>0.1</v>
      </c>
      <c r="I27" s="99" t="n">
        <f aca="false">VLOOKUP(E27,Inputs!$D$5:$E$23,2,FALSE())</f>
        <v>1</v>
      </c>
      <c r="J27" s="100" t="n">
        <f aca="false">F27*I27*(1+H27)</f>
        <v>1.1</v>
      </c>
      <c r="K27" s="101" t="n">
        <f aca="false">IF(ISNUMBER(MATCH(G27,{"tube","each","plate","vial","kit","bottle","aliquot","strainer","cap","lane-rxn","tip","strip","lane","channel","library","sample"},0)),ROUNDUP(J27,0),ROUND(J27,2))</f>
        <v>2</v>
      </c>
      <c r="L27" s="91" t="n">
        <f aca="false">IFERROR(IF(OR(D27="",P27="",Q27="",Q27=0),"",IF(VLOOKUP(R27,Unit_Conversions!$A$5:$C$28,3,FALSE())=VLOOKUP(G27,Unit_Conversions!$A$5:$C$28,3,FALSE()),P27*VLOOKUP(G27,Unit_Conversions!$A$5:$C$28,2,FALSE())/(Q27*VLOOKUP(R27,Unit_Conversions!$A$5:$C$28,2,FALSE())),"")),"")</f>
        <v>0.244</v>
      </c>
      <c r="M27" s="92" t="n">
        <f aca="false">IFERROR(F27*L27,"")</f>
        <v>0.244</v>
      </c>
      <c r="N27" s="93" t="n">
        <f aca="false">IFERROR(J27*L27,"")</f>
        <v>0.2684</v>
      </c>
      <c r="O27" s="102" t="s">
        <v>903</v>
      </c>
      <c r="P27" s="1" t="n">
        <f aca="false">IFERROR(IF(LEFT(D27,1)="K",VLOOKUP(D27,Kit_Catalog!$A:$K,8,FALSE()),VLOOKUP(D27,Additional_Supply_Catalog!$A:$K,7,FALSE())),"")</f>
        <v>6.1</v>
      </c>
      <c r="Q27" s="1" t="n">
        <f aca="false">IFERROR(IF(LEFT(D27,1)="K",VLOOKUP(D27,Kit_Catalog!$A:$K,7,FALSE()),VLOOKUP(D27,Additional_Supply_Catalog!$A:$K,8,FALSE())),"")</f>
        <v>25</v>
      </c>
      <c r="R27" s="1" t="str">
        <f aca="false">IFERROR(IF(LEFT(D27,1)="K","rxn",VLOOKUP(D27,Additional_Supply_Catalog!$A:$K,9,FALSE())),"")</f>
        <v>tube</v>
      </c>
    </row>
    <row r="28" customFormat="false" ht="15" hidden="false" customHeight="true" outlineLevel="0" collapsed="false">
      <c r="A28" s="96" t="s">
        <v>914</v>
      </c>
      <c r="B28" s="96" t="s">
        <v>901</v>
      </c>
      <c r="C28" s="96" t="s">
        <v>574</v>
      </c>
      <c r="D28" s="96" t="s">
        <v>573</v>
      </c>
      <c r="E28" s="96" t="s">
        <v>13</v>
      </c>
      <c r="F28" s="97" t="n">
        <v>1</v>
      </c>
      <c r="G28" s="96" t="s">
        <v>373</v>
      </c>
      <c r="H28" s="98" t="n">
        <f aca="false">Inputs!$B$20</f>
        <v>0.1</v>
      </c>
      <c r="I28" s="99" t="n">
        <f aca="false">VLOOKUP(E28,Inputs!$D$5:$E$23,2,FALSE())</f>
        <v>1</v>
      </c>
      <c r="J28" s="100" t="n">
        <f aca="false">F28*I28*(1+H28)</f>
        <v>1.1</v>
      </c>
      <c r="K28" s="101" t="n">
        <f aca="false">IF(ISNUMBER(MATCH(G28,{"tube","each","plate","vial","kit","bottle","aliquot","strainer","cap","lane-rxn","tip","strip","lane","channel","library","sample"},0)),ROUNDUP(J28,0),ROUND(J28,2))</f>
        <v>2</v>
      </c>
      <c r="L28" s="91" t="n">
        <f aca="false">IFERROR(IF(OR(D28="",P28="",Q28="",Q28=0),"",IF(VLOOKUP(R28,Unit_Conversions!$A$5:$C$28,3,FALSE())=VLOOKUP(G28,Unit_Conversions!$A$5:$C$28,3,FALSE()),P28*VLOOKUP(G28,Unit_Conversions!$A$5:$C$28,2,FALSE())/(Q28*VLOOKUP(R28,Unit_Conversions!$A$5:$C$28,2,FALSE())),"")),"")</f>
        <v>2.28</v>
      </c>
      <c r="M28" s="92" t="n">
        <f aca="false">IFERROR(F28*L28,"")</f>
        <v>2.28</v>
      </c>
      <c r="N28" s="93" t="n">
        <f aca="false">IFERROR(J28*L28,"")</f>
        <v>2.508</v>
      </c>
      <c r="O28" s="102"/>
      <c r="P28" s="1" t="n">
        <f aca="false">IFERROR(IF(LEFT(D28,1)="K",VLOOKUP(D28,Kit_Catalog!$A:$K,8,FALSE()),VLOOKUP(D28,Additional_Supply_Catalog!$A:$K,7,FALSE())),"")</f>
        <v>114</v>
      </c>
      <c r="Q28" s="1" t="n">
        <f aca="false">IFERROR(IF(LEFT(D28,1)="K",VLOOKUP(D28,Kit_Catalog!$A:$K,7,FALSE()),VLOOKUP(D28,Additional_Supply_Catalog!$A:$K,8,FALSE())),"")</f>
        <v>50</v>
      </c>
      <c r="R28" s="1" t="str">
        <f aca="false">IFERROR(IF(LEFT(D28,1)="K","rxn",VLOOKUP(D28,Additional_Supply_Catalog!$A:$K,9,FALSE())),"")</f>
        <v>each</v>
      </c>
    </row>
    <row r="29" customFormat="false" ht="21.75" hidden="false" customHeight="true" outlineLevel="0" collapsed="false">
      <c r="A29" s="77" t="s">
        <v>924</v>
      </c>
      <c r="B29" s="77" t="s">
        <v>896</v>
      </c>
      <c r="C29" s="78" t="s">
        <v>915</v>
      </c>
      <c r="D29" s="77"/>
      <c r="E29" s="77" t="s">
        <v>898</v>
      </c>
      <c r="F29" s="79"/>
      <c r="G29" s="77" t="s">
        <v>337</v>
      </c>
      <c r="H29" s="77"/>
      <c r="I29" s="80"/>
      <c r="J29" s="81" t="n">
        <f aca="false">(6*Inputs!$B$6 + 3.1*Inputs!$B$7)*(1+Inputs!$B$20)</f>
        <v>43.01</v>
      </c>
      <c r="K29" s="82"/>
      <c r="L29" s="80"/>
      <c r="M29" s="83"/>
      <c r="N29" s="83"/>
      <c r="O29" s="84" t="s">
        <v>899</v>
      </c>
    </row>
    <row r="30" customFormat="false" ht="21.75" hidden="false" customHeight="true" outlineLevel="0" collapsed="false">
      <c r="A30" s="77" t="s">
        <v>924</v>
      </c>
      <c r="B30" s="77" t="s">
        <v>896</v>
      </c>
      <c r="C30" s="78" t="s">
        <v>925</v>
      </c>
      <c r="D30" s="77"/>
      <c r="E30" s="77" t="s">
        <v>898</v>
      </c>
      <c r="F30" s="79"/>
      <c r="G30" s="77" t="s">
        <v>397</v>
      </c>
      <c r="H30" s="77"/>
      <c r="I30" s="80"/>
      <c r="J30" s="81" t="n">
        <f aca="false">(100*Inputs!$B$7)*(1+Inputs!$B$20)</f>
        <v>110</v>
      </c>
      <c r="K30" s="82"/>
      <c r="L30" s="80"/>
      <c r="M30" s="83"/>
      <c r="N30" s="83"/>
      <c r="O30" s="84" t="s">
        <v>899</v>
      </c>
    </row>
    <row r="31" customFormat="false" ht="21.75" hidden="false" customHeight="true" outlineLevel="0" collapsed="false">
      <c r="A31" s="77" t="s">
        <v>924</v>
      </c>
      <c r="B31" s="77" t="s">
        <v>896</v>
      </c>
      <c r="C31" s="78" t="s">
        <v>926</v>
      </c>
      <c r="D31" s="77"/>
      <c r="E31" s="77" t="s">
        <v>898</v>
      </c>
      <c r="F31" s="79"/>
      <c r="G31" s="77" t="s">
        <v>397</v>
      </c>
      <c r="H31" s="77"/>
      <c r="I31" s="80"/>
      <c r="J31" s="81" t="n">
        <f aca="false">(1000*Inputs!$B$7)*(1+Inputs!$B$20)</f>
        <v>1100</v>
      </c>
      <c r="K31" s="82"/>
      <c r="L31" s="80"/>
      <c r="M31" s="83"/>
      <c r="N31" s="83"/>
      <c r="O31" s="84" t="s">
        <v>899</v>
      </c>
    </row>
    <row r="32" customFormat="false" ht="21.75" hidden="false" customHeight="true" outlineLevel="0" collapsed="false">
      <c r="A32" s="77" t="s">
        <v>924</v>
      </c>
      <c r="B32" s="77" t="s">
        <v>896</v>
      </c>
      <c r="C32" s="78" t="s">
        <v>927</v>
      </c>
      <c r="D32" s="77"/>
      <c r="E32" s="77" t="s">
        <v>898</v>
      </c>
      <c r="F32" s="79"/>
      <c r="G32" s="77" t="s">
        <v>397</v>
      </c>
      <c r="H32" s="77"/>
      <c r="I32" s="80"/>
      <c r="J32" s="81" t="n">
        <f aca="false">(100*Inputs!$B$7)*(1+Inputs!$B$20)</f>
        <v>110</v>
      </c>
      <c r="K32" s="82"/>
      <c r="L32" s="80"/>
      <c r="M32" s="83"/>
      <c r="N32" s="83"/>
      <c r="O32" s="84" t="s">
        <v>899</v>
      </c>
    </row>
    <row r="33" customFormat="false" ht="15" hidden="false" customHeight="true" outlineLevel="0" collapsed="false">
      <c r="A33" s="85" t="s">
        <v>924</v>
      </c>
      <c r="B33" s="85" t="s">
        <v>901</v>
      </c>
      <c r="C33" s="85" t="s">
        <v>916</v>
      </c>
      <c r="D33" s="85" t="s">
        <v>551</v>
      </c>
      <c r="E33" s="85" t="s">
        <v>11</v>
      </c>
      <c r="F33" s="86" t="n">
        <v>1</v>
      </c>
      <c r="G33" s="85" t="s">
        <v>571</v>
      </c>
      <c r="H33" s="87" t="n">
        <f aca="false">Inputs!$B$20</f>
        <v>0.1</v>
      </c>
      <c r="I33" s="88" t="n">
        <f aca="false">VLOOKUP(E33,Inputs!$D$5:$E$23,2,FALSE())</f>
        <v>6</v>
      </c>
      <c r="J33" s="89" t="n">
        <f aca="false">F33*I33*(1+H33)</f>
        <v>6.6</v>
      </c>
      <c r="K33" s="90" t="n">
        <f aca="false">IF(ISNUMBER(MATCH(G33,{"tube","each","plate","vial","kit","bottle","aliquot","strainer","cap","lane-rxn","tip","strip","lane","channel","library","sample"},0)),ROUNDUP(J33,0),ROUND(J33,2))</f>
        <v>7</v>
      </c>
      <c r="L33" s="91" t="n">
        <f aca="false">IFERROR(IF(OR(D33="",P33="",Q33="",Q33=0),"",IF(VLOOKUP(R33,Unit_Conversions!$A$5:$C$28,3,FALSE())=VLOOKUP(G33,Unit_Conversions!$A$5:$C$28,3,FALSE()),P33*VLOOKUP(G33,Unit_Conversions!$A$5:$C$28,2,FALSE())/(Q33*VLOOKUP(R33,Unit_Conversions!$A$5:$C$28,2,FALSE())),"")),"")</f>
        <v>0.17956</v>
      </c>
      <c r="M33" s="92" t="n">
        <f aca="false">IFERROR(F33*L33,"")</f>
        <v>0.17956</v>
      </c>
      <c r="N33" s="93" t="n">
        <f aca="false">IFERROR(J33*L33,"")</f>
        <v>1.185096</v>
      </c>
      <c r="O33" s="94"/>
      <c r="P33" s="1" t="n">
        <f aca="false">IFERROR(IF(LEFT(D33,1)="K",VLOOKUP(D33,Kit_Catalog!$A:$K,8,FALSE()),VLOOKUP(D33,Additional_Supply_Catalog!$A:$K,7,FALSE())),"")</f>
        <v>44.89</v>
      </c>
      <c r="Q33" s="1" t="n">
        <f aca="false">IFERROR(IF(LEFT(D33,1)="K",VLOOKUP(D33,Kit_Catalog!$A:$K,7,FALSE()),VLOOKUP(D33,Additional_Supply_Catalog!$A:$K,8,FALSE())),"")</f>
        <v>250</v>
      </c>
      <c r="R33" s="1" t="str">
        <f aca="false">IFERROR(IF(LEFT(D33,1)="K","rxn",VLOOKUP(D33,Additional_Supply_Catalog!$A:$K,9,FALSE())),"")</f>
        <v>tube</v>
      </c>
    </row>
    <row r="34" customFormat="false" ht="15" hidden="false" customHeight="true" outlineLevel="0" collapsed="false">
      <c r="A34" s="85" t="s">
        <v>924</v>
      </c>
      <c r="B34" s="85" t="s">
        <v>901</v>
      </c>
      <c r="C34" s="85" t="s">
        <v>910</v>
      </c>
      <c r="D34" s="85" t="s">
        <v>555</v>
      </c>
      <c r="E34" s="85" t="s">
        <v>11</v>
      </c>
      <c r="F34" s="86" t="n">
        <v>1</v>
      </c>
      <c r="G34" s="85" t="s">
        <v>548</v>
      </c>
      <c r="H34" s="87" t="n">
        <f aca="false">Inputs!$B$20</f>
        <v>0.1</v>
      </c>
      <c r="I34" s="88" t="n">
        <f aca="false">VLOOKUP(E34,Inputs!$D$5:$E$23,2,FALSE())</f>
        <v>6</v>
      </c>
      <c r="J34" s="89" t="n">
        <f aca="false">F34*I34*(1+H34)</f>
        <v>6.6</v>
      </c>
      <c r="K34" s="90" t="n">
        <f aca="false">IF(ISNUMBER(MATCH(G34,{"tube","each","plate","vial","kit","bottle","aliquot","strainer","cap","lane-rxn","tip","strip","lane","channel","library","sample"},0)),ROUNDUP(J34,0),ROUND(J34,2))</f>
        <v>7</v>
      </c>
      <c r="L34" s="91" t="n">
        <f aca="false">IFERROR(IF(OR(D34="",P34="",Q34="",Q34=0),"",IF(VLOOKUP(R34,Unit_Conversions!$A$5:$C$28,3,FALSE())=VLOOKUP(G34,Unit_Conversions!$A$5:$C$28,3,FALSE()),P34*VLOOKUP(G34,Unit_Conversions!$A$5:$C$28,2,FALSE())/(Q34*VLOOKUP(R34,Unit_Conversions!$A$5:$C$28,2,FALSE())),"")),"")</f>
        <v>0.244</v>
      </c>
      <c r="M34" s="92" t="n">
        <f aca="false">IFERROR(F34*L34,"")</f>
        <v>0.244</v>
      </c>
      <c r="N34" s="93" t="n">
        <f aca="false">IFERROR(J34*L34,"")</f>
        <v>1.6104</v>
      </c>
      <c r="O34" s="94" t="s">
        <v>903</v>
      </c>
      <c r="P34" s="1" t="n">
        <f aca="false">IFERROR(IF(LEFT(D34,1)="K",VLOOKUP(D34,Kit_Catalog!$A:$K,8,FALSE()),VLOOKUP(D34,Additional_Supply_Catalog!$A:$K,7,FALSE())),"")</f>
        <v>6.1</v>
      </c>
      <c r="Q34" s="1" t="n">
        <f aca="false">IFERROR(IF(LEFT(D34,1)="K",VLOOKUP(D34,Kit_Catalog!$A:$K,7,FALSE()),VLOOKUP(D34,Additional_Supply_Catalog!$A:$K,8,FALSE())),"")</f>
        <v>25</v>
      </c>
      <c r="R34" s="1" t="str">
        <f aca="false">IFERROR(IF(LEFT(D34,1)="K","rxn",VLOOKUP(D34,Additional_Supply_Catalog!$A:$K,9,FALSE())),"")</f>
        <v>tube</v>
      </c>
    </row>
    <row r="35" customFormat="false" ht="15" hidden="false" customHeight="true" outlineLevel="0" collapsed="false">
      <c r="A35" s="85" t="s">
        <v>924</v>
      </c>
      <c r="B35" s="85" t="s">
        <v>901</v>
      </c>
      <c r="C35" s="85" t="s">
        <v>574</v>
      </c>
      <c r="D35" s="85" t="s">
        <v>573</v>
      </c>
      <c r="E35" s="85" t="s">
        <v>11</v>
      </c>
      <c r="F35" s="86" t="n">
        <v>1</v>
      </c>
      <c r="G35" s="85" t="s">
        <v>373</v>
      </c>
      <c r="H35" s="87" t="n">
        <f aca="false">Inputs!$B$20</f>
        <v>0.1</v>
      </c>
      <c r="I35" s="88" t="n">
        <f aca="false">VLOOKUP(E35,Inputs!$D$5:$E$23,2,FALSE())</f>
        <v>6</v>
      </c>
      <c r="J35" s="89" t="n">
        <f aca="false">F35*I35*(1+H35)</f>
        <v>6.6</v>
      </c>
      <c r="K35" s="90" t="n">
        <f aca="false">IF(ISNUMBER(MATCH(G35,{"tube","each","plate","vial","kit","bottle","aliquot","strainer","cap","lane-rxn","tip","strip","lane","channel","library","sample"},0)),ROUNDUP(J35,0),ROUND(J35,2))</f>
        <v>7</v>
      </c>
      <c r="L35" s="91" t="n">
        <f aca="false">IFERROR(IF(OR(D35="",P35="",Q35="",Q35=0),"",IF(VLOOKUP(R35,Unit_Conversions!$A$5:$C$28,3,FALSE())=VLOOKUP(G35,Unit_Conversions!$A$5:$C$28,3,FALSE()),P35*VLOOKUP(G35,Unit_Conversions!$A$5:$C$28,2,FALSE())/(Q35*VLOOKUP(R35,Unit_Conversions!$A$5:$C$28,2,FALSE())),"")),"")</f>
        <v>2.28</v>
      </c>
      <c r="M35" s="92" t="n">
        <f aca="false">IFERROR(F35*L35,"")</f>
        <v>2.28</v>
      </c>
      <c r="N35" s="93" t="n">
        <f aca="false">IFERROR(J35*L35,"")</f>
        <v>15.048</v>
      </c>
      <c r="O35" s="94"/>
      <c r="P35" s="1" t="n">
        <f aca="false">IFERROR(IF(LEFT(D35,1)="K",VLOOKUP(D35,Kit_Catalog!$A:$K,8,FALSE()),VLOOKUP(D35,Additional_Supply_Catalog!$A:$K,7,FALSE())),"")</f>
        <v>114</v>
      </c>
      <c r="Q35" s="1" t="n">
        <f aca="false">IFERROR(IF(LEFT(D35,1)="K",VLOOKUP(D35,Kit_Catalog!$A:$K,7,FALSE()),VLOOKUP(D35,Additional_Supply_Catalog!$A:$K,8,FALSE())),"")</f>
        <v>50</v>
      </c>
      <c r="R35" s="1" t="str">
        <f aca="false">IFERROR(IF(LEFT(D35,1)="K","rxn",VLOOKUP(D35,Additional_Supply_Catalog!$A:$K,9,FALSE())),"")</f>
        <v>each</v>
      </c>
    </row>
    <row r="36" customFormat="false" ht="15" hidden="false" customHeight="true" outlineLevel="0" collapsed="false">
      <c r="A36" s="85" t="s">
        <v>924</v>
      </c>
      <c r="B36" s="85" t="s">
        <v>901</v>
      </c>
      <c r="C36" s="85" t="s">
        <v>917</v>
      </c>
      <c r="D36" s="85" t="s">
        <v>584</v>
      </c>
      <c r="E36" s="85" t="s">
        <v>11</v>
      </c>
      <c r="F36" s="86" t="n">
        <v>1</v>
      </c>
      <c r="G36" s="85" t="s">
        <v>548</v>
      </c>
      <c r="H36" s="87" t="n">
        <f aca="false">Inputs!$B$20</f>
        <v>0.1</v>
      </c>
      <c r="I36" s="88" t="n">
        <f aca="false">VLOOKUP(E36,Inputs!$D$5:$E$23,2,FALSE())</f>
        <v>6</v>
      </c>
      <c r="J36" s="89" t="n">
        <f aca="false">F36*I36*(1+H36)</f>
        <v>6.6</v>
      </c>
      <c r="K36" s="90" t="n">
        <f aca="false">IF(ISNUMBER(MATCH(G36,{"tube","each","plate","vial","kit","bottle","aliquot","strainer","cap","lane-rxn","tip","strip","lane","channel","library","sample"},0)),ROUNDUP(J36,0),ROUND(J36,2))</f>
        <v>7</v>
      </c>
      <c r="L36" s="91" t="str">
        <f aca="false">IFERROR(IF(OR(D36="",P36="",Q36="",Q36=0),"",IF(VLOOKUP(R36,Unit_Conversions!$A$5:$C$28,3,FALSE())=VLOOKUP(G36,Unit_Conversions!$A$5:$C$28,3,FALSE()),P36*VLOOKUP(G36,Unit_Conversions!$A$5:$C$28,2,FALSE())/(Q36*VLOOKUP(R36,Unit_Conversions!$A$5:$C$28,2,FALSE())),"")),"")</f>
        <v/>
      </c>
      <c r="M36" s="92" t="str">
        <f aca="false">IFERROR(F36*L36,"")</f>
        <v/>
      </c>
      <c r="N36" s="93" t="str">
        <f aca="false">IFERROR(J36*L36,"")</f>
        <v/>
      </c>
      <c r="O36" s="94" t="s">
        <v>903</v>
      </c>
      <c r="P36" s="1" t="n">
        <f aca="false">IFERROR(IF(LEFT(D36,1)="K",VLOOKUP(D36,Kit_Catalog!$A:$K,8,FALSE()),VLOOKUP(D36,Additional_Supply_Catalog!$A:$K,7,FALSE())),"")</f>
        <v>19.16</v>
      </c>
      <c r="Q36" s="1" t="n">
        <f aca="false">IFERROR(IF(LEFT(D36,1)="K",VLOOKUP(D36,Kit_Catalog!$A:$K,7,FALSE()),VLOOKUP(D36,Additional_Supply_Catalog!$A:$K,8,FALSE())),"")</f>
        <v>12</v>
      </c>
      <c r="R36" s="1" t="n">
        <f aca="false">IFERROR(IF(LEFT(D36,1)="K","rxn",VLOOKUP(D36,Additional_Supply_Catalog!$A:$K,9,FALSE())),"")</f>
        <v>0</v>
      </c>
    </row>
    <row r="37" customFormat="false" ht="15" hidden="false" customHeight="true" outlineLevel="0" collapsed="false">
      <c r="A37" s="85" t="s">
        <v>924</v>
      </c>
      <c r="B37" s="85" t="s">
        <v>901</v>
      </c>
      <c r="C37" s="85" t="s">
        <v>928</v>
      </c>
      <c r="D37" s="85" t="s">
        <v>424</v>
      </c>
      <c r="E37" s="85" t="s">
        <v>11</v>
      </c>
      <c r="F37" s="86" t="n">
        <v>2</v>
      </c>
      <c r="G37" s="85" t="s">
        <v>397</v>
      </c>
      <c r="H37" s="87" t="n">
        <f aca="false">Inputs!$B$20</f>
        <v>0.1</v>
      </c>
      <c r="I37" s="88" t="n">
        <f aca="false">VLOOKUP(E37,Inputs!$D$5:$E$23,2,FALSE())</f>
        <v>6</v>
      </c>
      <c r="J37" s="89" t="n">
        <f aca="false">F37*I37*(1+H37)</f>
        <v>13.2</v>
      </c>
      <c r="K37" s="90" t="n">
        <f aca="false">IF(ISNUMBER(MATCH(G37,{"tube","each","plate","vial","kit","bottle","aliquot","strainer","cap","lane-rxn","tip","strip","lane","channel","library","sample"},0)),ROUNDUP(J37,0),ROUND(J37,2))</f>
        <v>13.2</v>
      </c>
      <c r="L37" s="91" t="n">
        <f aca="false">IFERROR(IF(OR(D37="",P37="",Q37="",Q37=0),"",IF(VLOOKUP(R37,Unit_Conversions!$A$5:$C$28,3,FALSE())=VLOOKUP(G37,Unit_Conversions!$A$5:$C$28,3,FALSE()),P37*VLOOKUP(G37,Unit_Conversions!$A$5:$C$28,2,FALSE())/(Q37*VLOOKUP(R37,Unit_Conversions!$A$5:$C$28,2,FALSE())),"")),"")</f>
        <v>25.85</v>
      </c>
      <c r="M37" s="92" t="n">
        <f aca="false">IFERROR(F37*L37,"")</f>
        <v>51.7</v>
      </c>
      <c r="N37" s="93" t="n">
        <f aca="false">IFERROR(J37*L37,"")</f>
        <v>341.22</v>
      </c>
      <c r="O37" s="94"/>
      <c r="P37" s="1" t="n">
        <f aca="false">IFERROR(IF(LEFT(D37,1)="K",VLOOKUP(D37,Kit_Catalog!$A:$K,8,FALSE()),VLOOKUP(D37,Additional_Supply_Catalog!$A:$K,7,FALSE())),"")</f>
        <v>517</v>
      </c>
      <c r="Q37" s="1" t="n">
        <f aca="false">IFERROR(IF(LEFT(D37,1)="K",VLOOKUP(D37,Kit_Catalog!$A:$K,7,FALSE()),VLOOKUP(D37,Additional_Supply_Catalog!$A:$K,8,FALSE())),"")</f>
        <v>20</v>
      </c>
      <c r="R37" s="1" t="str">
        <f aca="false">IFERROR(IF(LEFT(D37,1)="K","rxn",VLOOKUP(D37,Additional_Supply_Catalog!$A:$K,9,FALSE())),"")</f>
        <v>uL</v>
      </c>
    </row>
    <row r="38" customFormat="false" ht="15" hidden="false" customHeight="true" outlineLevel="0" collapsed="false">
      <c r="A38" s="85" t="s">
        <v>924</v>
      </c>
      <c r="B38" s="85" t="s">
        <v>901</v>
      </c>
      <c r="C38" s="85" t="s">
        <v>919</v>
      </c>
      <c r="D38" s="85" t="s">
        <v>431</v>
      </c>
      <c r="E38" s="85" t="s">
        <v>11</v>
      </c>
      <c r="F38" s="86" t="n">
        <v>10</v>
      </c>
      <c r="G38" s="85" t="s">
        <v>397</v>
      </c>
      <c r="H38" s="87" t="n">
        <f aca="false">Inputs!$B$20</f>
        <v>0.1</v>
      </c>
      <c r="I38" s="88" t="n">
        <f aca="false">VLOOKUP(E38,Inputs!$D$5:$E$23,2,FALSE())</f>
        <v>6</v>
      </c>
      <c r="J38" s="89" t="n">
        <f aca="false">F38*I38*(1+H38)</f>
        <v>66</v>
      </c>
      <c r="K38" s="90" t="n">
        <f aca="false">IF(ISNUMBER(MATCH(G38,{"tube","each","plate","vial","kit","bottle","aliquot","strainer","cap","lane-rxn","tip","strip","lane","channel","library","sample"},0)),ROUNDUP(J38,0),ROUND(J38,2))</f>
        <v>66</v>
      </c>
      <c r="L38" s="91" t="n">
        <f aca="false">IFERROR(IF(OR(D38="",P38="",Q38="",Q38=0),"",IF(VLOOKUP(R38,Unit_Conversions!$A$5:$C$28,3,FALSE())=VLOOKUP(G38,Unit_Conversions!$A$5:$C$28,3,FALSE()),P38*VLOOKUP(G38,Unit_Conversions!$A$5:$C$28,2,FALSE())/(Q38*VLOOKUP(R38,Unit_Conversions!$A$5:$C$28,2,FALSE())),"")),"")</f>
        <v>0.229</v>
      </c>
      <c r="M38" s="92" t="n">
        <f aca="false">IFERROR(F38*L38,"")</f>
        <v>2.29</v>
      </c>
      <c r="N38" s="93" t="n">
        <f aca="false">IFERROR(J38*L38,"")</f>
        <v>15.114</v>
      </c>
      <c r="O38" s="94"/>
      <c r="P38" s="1" t="n">
        <f aca="false">IFERROR(IF(LEFT(D38,1)="K",VLOOKUP(D38,Kit_Catalog!$A:$K,8,FALSE()),VLOOKUP(D38,Additional_Supply_Catalog!$A:$K,7,FALSE())),"")</f>
        <v>229</v>
      </c>
      <c r="Q38" s="1" t="n">
        <f aca="false">IFERROR(IF(LEFT(D38,1)="K",VLOOKUP(D38,Kit_Catalog!$A:$K,7,FALSE()),VLOOKUP(D38,Additional_Supply_Catalog!$A:$K,8,FALSE())),"")</f>
        <v>1000</v>
      </c>
      <c r="R38" s="1" t="str">
        <f aca="false">IFERROR(IF(LEFT(D38,1)="K","rxn",VLOOKUP(D38,Additional_Supply_Catalog!$A:$K,9,FALSE())),"")</f>
        <v>uL</v>
      </c>
    </row>
    <row r="39" customFormat="false" ht="15" hidden="false" customHeight="true" outlineLevel="0" collapsed="false">
      <c r="A39" s="85" t="s">
        <v>924</v>
      </c>
      <c r="B39" s="85" t="s">
        <v>901</v>
      </c>
      <c r="C39" s="85" t="s">
        <v>468</v>
      </c>
      <c r="D39" s="85" t="s">
        <v>466</v>
      </c>
      <c r="E39" s="85" t="s">
        <v>11</v>
      </c>
      <c r="F39" s="86" t="n">
        <v>0.38</v>
      </c>
      <c r="G39" s="85" t="s">
        <v>404</v>
      </c>
      <c r="H39" s="87" t="n">
        <f aca="false">Inputs!$B$20</f>
        <v>0.1</v>
      </c>
      <c r="I39" s="88" t="n">
        <f aca="false">VLOOKUP(E39,Inputs!$D$5:$E$23,2,FALSE())</f>
        <v>6</v>
      </c>
      <c r="J39" s="89" t="n">
        <f aca="false">F39*I39*(1+H39)</f>
        <v>2.508</v>
      </c>
      <c r="K39" s="90" t="n">
        <f aca="false">IF(ISNUMBER(MATCH(G39,{"tube","each","plate","vial","kit","bottle","aliquot","strainer","cap","lane-rxn","tip","strip","lane","channel","library","sample"},0)),ROUNDUP(J39,0),ROUND(J39,2))</f>
        <v>2.51</v>
      </c>
      <c r="L39" s="91" t="n">
        <f aca="false">IFERROR(IF(OR(D39="",P39="",Q39="",Q39=0),"",IF(VLOOKUP(R39,Unit_Conversions!$A$5:$C$28,3,FALSE())=VLOOKUP(G39,Unit_Conversions!$A$5:$C$28,3,FALSE()),P39*VLOOKUP(G39,Unit_Conversions!$A$5:$C$28,2,FALSE())/(Q39*VLOOKUP(R39,Unit_Conversions!$A$5:$C$28,2,FALSE())),"")),"")</f>
        <v>4.152</v>
      </c>
      <c r="M39" s="92" t="n">
        <f aca="false">IFERROR(F39*L39,"")</f>
        <v>1.57776</v>
      </c>
      <c r="N39" s="93" t="n">
        <f aca="false">IFERROR(J39*L39,"")</f>
        <v>10.413216</v>
      </c>
      <c r="O39" s="94" t="s">
        <v>929</v>
      </c>
      <c r="P39" s="1" t="n">
        <f aca="false">IFERROR(IF(LEFT(D39,1)="K",VLOOKUP(D39,Kit_Catalog!$A:$K,8,FALSE()),VLOOKUP(D39,Additional_Supply_Catalog!$A:$K,7,FALSE())),"")</f>
        <v>103.8</v>
      </c>
      <c r="Q39" s="1" t="n">
        <f aca="false">IFERROR(IF(LEFT(D39,1)="K",VLOOKUP(D39,Kit_Catalog!$A:$K,7,FALSE()),VLOOKUP(D39,Additional_Supply_Catalog!$A:$K,8,FALSE())),"")</f>
        <v>25</v>
      </c>
      <c r="R39" s="1" t="str">
        <f aca="false">IFERROR(IF(LEFT(D39,1)="K","rxn",VLOOKUP(D39,Additional_Supply_Catalog!$A:$K,9,FALSE())),"")</f>
        <v>g</v>
      </c>
    </row>
    <row r="40" customFormat="false" ht="15" hidden="false" customHeight="true" outlineLevel="0" collapsed="false">
      <c r="A40" s="85" t="s">
        <v>924</v>
      </c>
      <c r="B40" s="85" t="s">
        <v>901</v>
      </c>
      <c r="C40" s="85" t="s">
        <v>921</v>
      </c>
      <c r="D40" s="85" t="s">
        <v>339</v>
      </c>
      <c r="E40" s="85" t="s">
        <v>11</v>
      </c>
      <c r="F40" s="86" t="n">
        <v>19</v>
      </c>
      <c r="G40" s="85" t="s">
        <v>337</v>
      </c>
      <c r="H40" s="87" t="n">
        <f aca="false">Inputs!$B$20</f>
        <v>0.1</v>
      </c>
      <c r="I40" s="88" t="n">
        <f aca="false">VLOOKUP(E40,Inputs!$D$5:$E$23,2,FALSE())</f>
        <v>6</v>
      </c>
      <c r="J40" s="89" t="n">
        <f aca="false">F40*I40*(1+H40)</f>
        <v>125.4</v>
      </c>
      <c r="K40" s="90" t="n">
        <f aca="false">IF(ISNUMBER(MATCH(G40,{"tube","each","plate","vial","kit","bottle","aliquot","strainer","cap","lane-rxn","tip","strip","lane","channel","library","sample"},0)),ROUNDUP(J40,0),ROUND(J40,2))</f>
        <v>125.4</v>
      </c>
      <c r="L40" s="91" t="n">
        <f aca="false">IFERROR(IF(OR(D40="",P40="",Q40="",Q40=0),"",IF(VLOOKUP(R40,Unit_Conversions!$A$5:$C$28,3,FALSE())=VLOOKUP(G40,Unit_Conversions!$A$5:$C$28,3,FALSE()),P40*VLOOKUP(G40,Unit_Conversions!$A$5:$C$28,2,FALSE())/(Q40*VLOOKUP(R40,Unit_Conversions!$A$5:$C$28,2,FALSE())),"")),"")</f>
        <v>0.03804</v>
      </c>
      <c r="M40" s="92" t="n">
        <f aca="false">IFERROR(F40*L40,"")</f>
        <v>0.72276</v>
      </c>
      <c r="N40" s="93" t="n">
        <f aca="false">IFERROR(J40*L40,"")</f>
        <v>4.770216</v>
      </c>
      <c r="O40" s="94" t="s">
        <v>930</v>
      </c>
      <c r="P40" s="1" t="n">
        <f aca="false">IFERROR(IF(LEFT(D40,1)="K",VLOOKUP(D40,Kit_Catalog!$A:$K,8,FALSE()),VLOOKUP(D40,Additional_Supply_Catalog!$A:$K,7,FALSE())),"")</f>
        <v>19.02</v>
      </c>
      <c r="Q40" s="1" t="n">
        <f aca="false">IFERROR(IF(LEFT(D40,1)="K",VLOOKUP(D40,Kit_Catalog!$A:$K,7,FALSE()),VLOOKUP(D40,Additional_Supply_Catalog!$A:$K,8,FALSE())),"")</f>
        <v>500</v>
      </c>
      <c r="R40" s="1" t="str">
        <f aca="false">IFERROR(IF(LEFT(D40,1)="K","rxn",VLOOKUP(D40,Additional_Supply_Catalog!$A:$K,9,FALSE())),"")</f>
        <v>mL</v>
      </c>
    </row>
    <row r="41" customFormat="false" ht="15" hidden="false" customHeight="true" outlineLevel="0" collapsed="false">
      <c r="A41" s="85" t="s">
        <v>924</v>
      </c>
      <c r="B41" s="85" t="s">
        <v>901</v>
      </c>
      <c r="C41" s="85" t="s">
        <v>931</v>
      </c>
      <c r="D41" s="85" t="s">
        <v>393</v>
      </c>
      <c r="E41" s="85" t="s">
        <v>13</v>
      </c>
      <c r="F41" s="86" t="n">
        <v>30</v>
      </c>
      <c r="G41" s="85" t="s">
        <v>397</v>
      </c>
      <c r="H41" s="87" t="n">
        <f aca="false">Inputs!$B$20</f>
        <v>0.1</v>
      </c>
      <c r="I41" s="88" t="n">
        <f aca="false">VLOOKUP(E41,Inputs!$D$5:$E$23,2,FALSE())</f>
        <v>1</v>
      </c>
      <c r="J41" s="89" t="n">
        <f aca="false">F41*I41*(1+H41)</f>
        <v>33</v>
      </c>
      <c r="K41" s="90" t="n">
        <f aca="false">IF(ISNUMBER(MATCH(G41,{"tube","each","plate","vial","kit","bottle","aliquot","strainer","cap","lane-rxn","tip","strip","lane","channel","library","sample"},0)),ROUNDUP(J41,0),ROUND(J41,2))</f>
        <v>33</v>
      </c>
      <c r="L41" s="91" t="n">
        <f aca="false">IFERROR(IF(OR(D41="",P41="",Q41="",Q41=0),"",IF(VLOOKUP(R41,Unit_Conversions!$A$5:$C$28,3,FALSE())=VLOOKUP(G41,Unit_Conversions!$A$5:$C$28,3,FALSE()),P41*VLOOKUP(G41,Unit_Conversions!$A$5:$C$28,2,FALSE())/(Q41*VLOOKUP(R41,Unit_Conversions!$A$5:$C$28,2,FALSE())),"")),"")</f>
        <v>0.047</v>
      </c>
      <c r="M41" s="92" t="n">
        <f aca="false">IFERROR(F41*L41,"")</f>
        <v>1.41</v>
      </c>
      <c r="N41" s="93" t="n">
        <f aca="false">IFERROR(J41*L41,"")</f>
        <v>1.551</v>
      </c>
      <c r="O41" s="94"/>
      <c r="P41" s="1" t="n">
        <f aca="false">IFERROR(IF(LEFT(D41,1)="K",VLOOKUP(D41,Kit_Catalog!$A:$K,8,FALSE()),VLOOKUP(D41,Additional_Supply_Catalog!$A:$K,7,FALSE())),"")</f>
        <v>47</v>
      </c>
      <c r="Q41" s="1" t="n">
        <f aca="false">IFERROR(IF(LEFT(D41,1)="K",VLOOKUP(D41,Kit_Catalog!$A:$K,7,FALSE()),VLOOKUP(D41,Additional_Supply_Catalog!$A:$K,8,FALSE())),"")</f>
        <v>1000</v>
      </c>
      <c r="R41" s="1" t="str">
        <f aca="false">IFERROR(IF(LEFT(D41,1)="K","rxn",VLOOKUP(D41,Additional_Supply_Catalog!$A:$K,9,FALSE())),"")</f>
        <v>uL</v>
      </c>
    </row>
    <row r="42" customFormat="false" ht="15" hidden="false" customHeight="true" outlineLevel="0" collapsed="false">
      <c r="A42" s="85" t="s">
        <v>924</v>
      </c>
      <c r="B42" s="85" t="s">
        <v>901</v>
      </c>
      <c r="C42" s="85" t="s">
        <v>401</v>
      </c>
      <c r="D42" s="85" t="s">
        <v>400</v>
      </c>
      <c r="E42" s="85" t="s">
        <v>13</v>
      </c>
      <c r="F42" s="86" t="n">
        <v>32</v>
      </c>
      <c r="G42" s="85" t="s">
        <v>397</v>
      </c>
      <c r="H42" s="87" t="n">
        <f aca="false">Inputs!$B$20</f>
        <v>0.1</v>
      </c>
      <c r="I42" s="88" t="n">
        <f aca="false">VLOOKUP(E42,Inputs!$D$5:$E$23,2,FALSE())</f>
        <v>1</v>
      </c>
      <c r="J42" s="89" t="n">
        <f aca="false">F42*I42*(1+H42)</f>
        <v>35.2</v>
      </c>
      <c r="K42" s="90" t="n">
        <f aca="false">IF(ISNUMBER(MATCH(G42,{"tube","each","plate","vial","kit","bottle","aliquot","strainer","cap","lane-rxn","tip","strip","lane","channel","library","sample"},0)),ROUNDUP(J42,0),ROUND(J42,2))</f>
        <v>35.2</v>
      </c>
      <c r="L42" s="91" t="str">
        <f aca="false">IFERROR(IF(OR(D42="",P42="",Q42="",Q42=0),"",IF(VLOOKUP(R42,Unit_Conversions!$A$5:$C$28,3,FALSE())=VLOOKUP(G42,Unit_Conversions!$A$5:$C$28,3,FALSE()),P42*VLOOKUP(G42,Unit_Conversions!$A$5:$C$28,2,FALSE())/(Q42*VLOOKUP(R42,Unit_Conversions!$A$5:$C$28,2,FALSE())),"")),"")</f>
        <v/>
      </c>
      <c r="M42" s="92" t="str">
        <f aca="false">IFERROR(F42*L42,"")</f>
        <v/>
      </c>
      <c r="N42" s="93" t="str">
        <f aca="false">IFERROR(J42*L42,"")</f>
        <v/>
      </c>
      <c r="O42" s="94"/>
      <c r="P42" s="1" t="n">
        <f aca="false">IFERROR(IF(LEFT(D42,1)="K",VLOOKUP(D42,Kit_Catalog!$A:$K,8,FALSE()),VLOOKUP(D42,Additional_Supply_Catalog!$A:$K,7,FALSE())),"")</f>
        <v>46.2</v>
      </c>
      <c r="Q42" s="1" t="n">
        <f aca="false">IFERROR(IF(LEFT(D42,1)="K",VLOOKUP(D42,Kit_Catalog!$A:$K,7,FALSE()),VLOOKUP(D42,Additional_Supply_Catalog!$A:$K,8,FALSE())),"")</f>
        <v>500</v>
      </c>
      <c r="R42" s="1" t="str">
        <f aca="false">IFERROR(IF(LEFT(D42,1)="K","rxn",VLOOKUP(D42,Additional_Supply_Catalog!$A:$K,9,FALSE())),"")</f>
        <v>g</v>
      </c>
    </row>
    <row r="43" customFormat="false" ht="15" hidden="false" customHeight="true" outlineLevel="0" collapsed="false">
      <c r="A43" s="85" t="s">
        <v>924</v>
      </c>
      <c r="B43" s="85" t="s">
        <v>901</v>
      </c>
      <c r="C43" s="85" t="s">
        <v>932</v>
      </c>
      <c r="D43" s="85" t="s">
        <v>438</v>
      </c>
      <c r="E43" s="85" t="s">
        <v>13</v>
      </c>
      <c r="F43" s="86" t="n">
        <v>11</v>
      </c>
      <c r="G43" s="85" t="s">
        <v>397</v>
      </c>
      <c r="H43" s="87" t="n">
        <f aca="false">Inputs!$B$20</f>
        <v>0.1</v>
      </c>
      <c r="I43" s="88" t="n">
        <f aca="false">VLOOKUP(E43,Inputs!$D$5:$E$23,2,FALSE())</f>
        <v>1</v>
      </c>
      <c r="J43" s="89" t="n">
        <f aca="false">F43*I43*(1+H43)</f>
        <v>12.1</v>
      </c>
      <c r="K43" s="90" t="n">
        <f aca="false">IF(ISNUMBER(MATCH(G43,{"tube","each","plate","vial","kit","bottle","aliquot","strainer","cap","lane-rxn","tip","strip","lane","channel","library","sample"},0)),ROUNDUP(J43,0),ROUND(J43,2))</f>
        <v>12.1</v>
      </c>
      <c r="L43" s="91" t="n">
        <f aca="false">IFERROR(IF(OR(D43="",P43="",Q43="",Q43=0),"",IF(VLOOKUP(R43,Unit_Conversions!$A$5:$C$28,3,FALSE())=VLOOKUP(G43,Unit_Conversions!$A$5:$C$28,3,FALSE()),P43*VLOOKUP(G43,Unit_Conversions!$A$5:$C$28,2,FALSE())/(Q43*VLOOKUP(R43,Unit_Conversions!$A$5:$C$28,2,FALSE())),"")),"")</f>
        <v>0.000176</v>
      </c>
      <c r="M43" s="92" t="n">
        <f aca="false">IFERROR(F43*L43,"")</f>
        <v>0.001936</v>
      </c>
      <c r="N43" s="93" t="n">
        <f aca="false">IFERROR(J43*L43,"")</f>
        <v>0.0021296</v>
      </c>
      <c r="O43" s="94"/>
      <c r="P43" s="1" t="n">
        <f aca="false">IFERROR(IF(LEFT(D43,1)="K",VLOOKUP(D43,Kit_Catalog!$A:$K,8,FALSE()),VLOOKUP(D43,Additional_Supply_Catalog!$A:$K,7,FALSE())),"")</f>
        <v>44</v>
      </c>
      <c r="Q43" s="1" t="n">
        <f aca="false">IFERROR(IF(LEFT(D43,1)="K",VLOOKUP(D43,Kit_Catalog!$A:$K,7,FALSE()),VLOOKUP(D43,Additional_Supply_Catalog!$A:$K,8,FALSE())),"")</f>
        <v>250</v>
      </c>
      <c r="R43" s="1" t="str">
        <f aca="false">IFERROR(IF(LEFT(D43,1)="K","rxn",VLOOKUP(D43,Additional_Supply_Catalog!$A:$K,9,FALSE())),"")</f>
        <v>mL</v>
      </c>
    </row>
    <row r="44" customFormat="false" ht="15" hidden="false" customHeight="true" outlineLevel="0" collapsed="false">
      <c r="A44" s="85" t="s">
        <v>924</v>
      </c>
      <c r="B44" s="85" t="s">
        <v>901</v>
      </c>
      <c r="C44" s="85" t="s">
        <v>445</v>
      </c>
      <c r="D44" s="85" t="s">
        <v>444</v>
      </c>
      <c r="E44" s="85" t="s">
        <v>13</v>
      </c>
      <c r="F44" s="86" t="n">
        <v>2.2</v>
      </c>
      <c r="G44" s="85" t="s">
        <v>397</v>
      </c>
      <c r="H44" s="87" t="n">
        <f aca="false">Inputs!$B$20</f>
        <v>0.1</v>
      </c>
      <c r="I44" s="88" t="n">
        <f aca="false">VLOOKUP(E44,Inputs!$D$5:$E$23,2,FALSE())</f>
        <v>1</v>
      </c>
      <c r="J44" s="89" t="n">
        <f aca="false">F44*I44*(1+H44)</f>
        <v>2.42</v>
      </c>
      <c r="K44" s="90" t="n">
        <f aca="false">IF(ISNUMBER(MATCH(G44,{"tube","each","plate","vial","kit","bottle","aliquot","strainer","cap","lane-rxn","tip","strip","lane","channel","library","sample"},0)),ROUNDUP(J44,0),ROUND(J44,2))</f>
        <v>2.42</v>
      </c>
      <c r="L44" s="91" t="n">
        <f aca="false">IFERROR(IF(OR(D44="",P44="",Q44="",Q44=0),"",IF(VLOOKUP(R44,Unit_Conversions!$A$5:$C$28,3,FALSE())=VLOOKUP(G44,Unit_Conversions!$A$5:$C$28,3,FALSE()),P44*VLOOKUP(G44,Unit_Conversions!$A$5:$C$28,2,FALSE())/(Q44*VLOOKUP(R44,Unit_Conversions!$A$5:$C$28,2,FALSE())),"")),"")</f>
        <v>1.455E-005</v>
      </c>
      <c r="M44" s="92" t="n">
        <f aca="false">IFERROR(F44*L44,"")</f>
        <v>3.201E-005</v>
      </c>
      <c r="N44" s="93" t="n">
        <f aca="false">IFERROR(J44*L44,"")</f>
        <v>3.5211E-005</v>
      </c>
      <c r="O44" s="94"/>
      <c r="P44" s="1" t="n">
        <f aca="false">IFERROR(IF(LEFT(D44,1)="K",VLOOKUP(D44,Kit_Catalog!$A:$K,8,FALSE()),VLOOKUP(D44,Additional_Supply_Catalog!$A:$K,7,FALSE())),"")</f>
        <v>14.55</v>
      </c>
      <c r="Q44" s="1" t="n">
        <f aca="false">IFERROR(IF(LEFT(D44,1)="K",VLOOKUP(D44,Kit_Catalog!$A:$K,7,FALSE()),VLOOKUP(D44,Additional_Supply_Catalog!$A:$K,8,FALSE())),"")</f>
        <v>1000</v>
      </c>
      <c r="R44" s="1" t="str">
        <f aca="false">IFERROR(IF(LEFT(D44,1)="K","rxn",VLOOKUP(D44,Additional_Supply_Catalog!$A:$K,9,FALSE())),"")</f>
        <v>mL</v>
      </c>
    </row>
    <row r="45" customFormat="false" ht="15" hidden="false" customHeight="true" outlineLevel="0" collapsed="false">
      <c r="A45" s="85" t="s">
        <v>924</v>
      </c>
      <c r="B45" s="85" t="s">
        <v>901</v>
      </c>
      <c r="C45" s="85" t="s">
        <v>451</v>
      </c>
      <c r="D45" s="85" t="s">
        <v>450</v>
      </c>
      <c r="E45" s="85" t="s">
        <v>13</v>
      </c>
      <c r="F45" s="86" t="n">
        <v>3.3</v>
      </c>
      <c r="G45" s="85" t="s">
        <v>397</v>
      </c>
      <c r="H45" s="87" t="n">
        <f aca="false">Inputs!$B$20</f>
        <v>0.1</v>
      </c>
      <c r="I45" s="88" t="n">
        <f aca="false">VLOOKUP(E45,Inputs!$D$5:$E$23,2,FALSE())</f>
        <v>1</v>
      </c>
      <c r="J45" s="89" t="n">
        <f aca="false">F45*I45*(1+H45)</f>
        <v>3.63</v>
      </c>
      <c r="K45" s="90" t="n">
        <f aca="false">IF(ISNUMBER(MATCH(G45,{"tube","each","plate","vial","kit","bottle","aliquot","strainer","cap","lane-rxn","tip","strip","lane","channel","library","sample"},0)),ROUNDUP(J45,0),ROUND(J45,2))</f>
        <v>3.63</v>
      </c>
      <c r="L45" s="91" t="n">
        <f aca="false">IFERROR(IF(OR(D45="",P45="",Q45="",Q45=0),"",IF(VLOOKUP(R45,Unit_Conversions!$A$5:$C$28,3,FALSE())=VLOOKUP(G45,Unit_Conversions!$A$5:$C$28,3,FALSE()),P45*VLOOKUP(G45,Unit_Conversions!$A$5:$C$28,2,FALSE())/(Q45*VLOOKUP(R45,Unit_Conversions!$A$5:$C$28,2,FALSE())),"")),"")</f>
        <v>0.00057</v>
      </c>
      <c r="M45" s="92" t="n">
        <f aca="false">IFERROR(F45*L45,"")</f>
        <v>0.001881</v>
      </c>
      <c r="N45" s="93" t="n">
        <f aca="false">IFERROR(J45*L45,"")</f>
        <v>0.0020691</v>
      </c>
      <c r="O45" s="94"/>
      <c r="P45" s="1" t="n">
        <f aca="false">IFERROR(IF(LEFT(D45,1)="K",VLOOKUP(D45,Kit_Catalog!$A:$K,8,FALSE()),VLOOKUP(D45,Additional_Supply_Catalog!$A:$K,7,FALSE())),"")</f>
        <v>57</v>
      </c>
      <c r="Q45" s="1" t="n">
        <f aca="false">IFERROR(IF(LEFT(D45,1)="K",VLOOKUP(D45,Kit_Catalog!$A:$K,7,FALSE()),VLOOKUP(D45,Additional_Supply_Catalog!$A:$K,8,FALSE())),"")</f>
        <v>100</v>
      </c>
      <c r="R45" s="1" t="str">
        <f aca="false">IFERROR(IF(LEFT(D45,1)="K","rxn",VLOOKUP(D45,Additional_Supply_Catalog!$A:$K,9,FALSE())),"")</f>
        <v>mL</v>
      </c>
    </row>
    <row r="46" customFormat="false" ht="15" hidden="false" customHeight="true" outlineLevel="0" collapsed="false">
      <c r="A46" s="85" t="s">
        <v>924</v>
      </c>
      <c r="B46" s="85" t="s">
        <v>901</v>
      </c>
      <c r="C46" s="85" t="s">
        <v>933</v>
      </c>
      <c r="D46" s="85" t="s">
        <v>455</v>
      </c>
      <c r="E46" s="85" t="s">
        <v>13</v>
      </c>
      <c r="F46" s="86" t="n">
        <v>1</v>
      </c>
      <c r="G46" s="85" t="s">
        <v>397</v>
      </c>
      <c r="H46" s="87" t="n">
        <f aca="false">Inputs!$B$20</f>
        <v>0.1</v>
      </c>
      <c r="I46" s="88" t="n">
        <f aca="false">VLOOKUP(E46,Inputs!$D$5:$E$23,2,FALSE())</f>
        <v>1</v>
      </c>
      <c r="J46" s="89" t="n">
        <f aca="false">F46*I46*(1+H46)</f>
        <v>1.1</v>
      </c>
      <c r="K46" s="90" t="n">
        <f aca="false">IF(ISNUMBER(MATCH(G46,{"tube","each","plate","vial","kit","bottle","aliquot","strainer","cap","lane-rxn","tip","strip","lane","channel","library","sample"},0)),ROUNDUP(J46,0),ROUND(J46,2))</f>
        <v>1.1</v>
      </c>
      <c r="L46" s="91" t="n">
        <f aca="false">IFERROR(IF(OR(D46="",P46="",Q46="",Q46=0),"",IF(VLOOKUP(R46,Unit_Conversions!$A$5:$C$28,3,FALSE())=VLOOKUP(G46,Unit_Conversions!$A$5:$C$28,3,FALSE()),P46*VLOOKUP(G46,Unit_Conversions!$A$5:$C$28,2,FALSE())/(Q46*VLOOKUP(R46,Unit_Conversions!$A$5:$C$28,2,FALSE())),"")),"")</f>
        <v>0.000212</v>
      </c>
      <c r="M46" s="92" t="n">
        <f aca="false">IFERROR(F46*L46,"")</f>
        <v>0.000212</v>
      </c>
      <c r="N46" s="93" t="n">
        <f aca="false">IFERROR(J46*L46,"")</f>
        <v>0.0002332</v>
      </c>
      <c r="O46" s="94"/>
      <c r="P46" s="1" t="n">
        <f aca="false">IFERROR(IF(LEFT(D46,1)="K",VLOOKUP(D46,Kit_Catalog!$A:$K,8,FALSE()),VLOOKUP(D46,Additional_Supply_Catalog!$A:$K,7,FALSE())),"")</f>
        <v>106</v>
      </c>
      <c r="Q46" s="1" t="n">
        <f aca="false">IFERROR(IF(LEFT(D46,1)="K",VLOOKUP(D46,Kit_Catalog!$A:$K,7,FALSE()),VLOOKUP(D46,Additional_Supply_Catalog!$A:$K,8,FALSE())),"")</f>
        <v>500</v>
      </c>
      <c r="R46" s="1" t="str">
        <f aca="false">IFERROR(IF(LEFT(D46,1)="K","rxn",VLOOKUP(D46,Additional_Supply_Catalog!$A:$K,9,FALSE())),"")</f>
        <v>mL</v>
      </c>
    </row>
    <row r="47" customFormat="false" ht="15" hidden="false" customHeight="true" outlineLevel="0" collapsed="false">
      <c r="A47" s="85" t="s">
        <v>924</v>
      </c>
      <c r="B47" s="85" t="s">
        <v>901</v>
      </c>
      <c r="C47" s="85" t="s">
        <v>461</v>
      </c>
      <c r="D47" s="85" t="s">
        <v>460</v>
      </c>
      <c r="E47" s="85" t="s">
        <v>13</v>
      </c>
      <c r="F47" s="86" t="n">
        <v>0.2</v>
      </c>
      <c r="G47" s="85" t="s">
        <v>397</v>
      </c>
      <c r="H47" s="87" t="n">
        <f aca="false">Inputs!$B$20</f>
        <v>0.1</v>
      </c>
      <c r="I47" s="88" t="n">
        <f aca="false">VLOOKUP(E47,Inputs!$D$5:$E$23,2,FALSE())</f>
        <v>1</v>
      </c>
      <c r="J47" s="89" t="n">
        <f aca="false">F47*I47*(1+H47)</f>
        <v>0.22</v>
      </c>
      <c r="K47" s="90" t="n">
        <f aca="false">IF(ISNUMBER(MATCH(G47,{"tube","each","plate","vial","kit","bottle","aliquot","strainer","cap","lane-rxn","tip","strip","lane","channel","library","sample"},0)),ROUNDUP(J47,0),ROUND(J47,2))</f>
        <v>0.22</v>
      </c>
      <c r="L47" s="91" t="n">
        <f aca="false">IFERROR(IF(OR(D47="",P47="",Q47="",Q47=0),"",IF(VLOOKUP(R47,Unit_Conversions!$A$5:$C$28,3,FALSE())=VLOOKUP(G47,Unit_Conversions!$A$5:$C$28,3,FALSE()),P47*VLOOKUP(G47,Unit_Conversions!$A$5:$C$28,2,FALSE())/(Q47*VLOOKUP(R47,Unit_Conversions!$A$5:$C$28,2,FALSE())),"")),"")</f>
        <v>0.12465</v>
      </c>
      <c r="M47" s="92" t="n">
        <f aca="false">IFERROR(F47*L47,"")</f>
        <v>0.02493</v>
      </c>
      <c r="N47" s="93" t="n">
        <f aca="false">IFERROR(J47*L47,"")</f>
        <v>0.027423</v>
      </c>
      <c r="O47" s="94"/>
      <c r="P47" s="1" t="n">
        <f aca="false">IFERROR(IF(LEFT(D47,1)="K",VLOOKUP(D47,Kit_Catalog!$A:$K,8,FALSE()),VLOOKUP(D47,Additional_Supply_Catalog!$A:$K,7,FALSE())),"")</f>
        <v>124.65</v>
      </c>
      <c r="Q47" s="1" t="n">
        <f aca="false">IFERROR(IF(LEFT(D47,1)="K",VLOOKUP(D47,Kit_Catalog!$A:$K,7,FALSE()),VLOOKUP(D47,Additional_Supply_Catalog!$A:$K,8,FALSE())),"")</f>
        <v>1</v>
      </c>
      <c r="R47" s="1" t="str">
        <f aca="false">IFERROR(IF(LEFT(D47,1)="K","rxn",VLOOKUP(D47,Additional_Supply_Catalog!$A:$K,9,FALSE())),"")</f>
        <v>mL</v>
      </c>
    </row>
    <row r="48" customFormat="false" ht="15" hidden="false" customHeight="true" outlineLevel="0" collapsed="false">
      <c r="A48" s="85" t="s">
        <v>924</v>
      </c>
      <c r="B48" s="85" t="s">
        <v>901</v>
      </c>
      <c r="C48" s="85" t="s">
        <v>382</v>
      </c>
      <c r="D48" s="85" t="s">
        <v>381</v>
      </c>
      <c r="E48" s="85" t="s">
        <v>13</v>
      </c>
      <c r="F48" s="86" t="n">
        <v>1</v>
      </c>
      <c r="G48" s="85" t="s">
        <v>397</v>
      </c>
      <c r="H48" s="87" t="n">
        <f aca="false">Inputs!$B$20</f>
        <v>0.1</v>
      </c>
      <c r="I48" s="88" t="n">
        <f aca="false">VLOOKUP(E48,Inputs!$D$5:$E$23,2,FALSE())</f>
        <v>1</v>
      </c>
      <c r="J48" s="89" t="n">
        <f aca="false">F48*I48*(1+H48)</f>
        <v>1.1</v>
      </c>
      <c r="K48" s="90" t="n">
        <f aca="false">IF(ISNUMBER(MATCH(G48,{"tube","each","plate","vial","kit","bottle","aliquot","strainer","cap","lane-rxn","tip","strip","lane","channel","library","sample"},0)),ROUNDUP(J48,0),ROUND(J48,2))</f>
        <v>1.1</v>
      </c>
      <c r="L48" s="91" t="n">
        <f aca="false">IFERROR(IF(OR(D48="",P48="",Q48="",Q48=0),"",IF(VLOOKUP(R48,Unit_Conversions!$A$5:$C$28,3,FALSE())=VLOOKUP(G48,Unit_Conversions!$A$5:$C$28,3,FALSE()),P48*VLOOKUP(G48,Unit_Conversions!$A$5:$C$28,2,FALSE())/(Q48*VLOOKUP(R48,Unit_Conversions!$A$5:$C$28,2,FALSE())),"")),"")</f>
        <v>0.008104</v>
      </c>
      <c r="M48" s="92" t="n">
        <f aca="false">IFERROR(F48*L48,"")</f>
        <v>0.008104</v>
      </c>
      <c r="N48" s="93" t="n">
        <f aca="false">IFERROR(J48*L48,"")</f>
        <v>0.0089144</v>
      </c>
      <c r="O48" s="94"/>
      <c r="P48" s="1" t="n">
        <f aca="false">IFERROR(IF(LEFT(D48,1)="K",VLOOKUP(D48,Kit_Catalog!$A:$K,8,FALSE()),VLOOKUP(D48,Additional_Supply_Catalog!$A:$K,7,FALSE())),"")</f>
        <v>40.52</v>
      </c>
      <c r="Q48" s="1" t="n">
        <f aca="false">IFERROR(IF(LEFT(D48,1)="K",VLOOKUP(D48,Kit_Catalog!$A:$K,7,FALSE()),VLOOKUP(D48,Additional_Supply_Catalog!$A:$K,8,FALSE())),"")</f>
        <v>5</v>
      </c>
      <c r="R48" s="1" t="str">
        <f aca="false">IFERROR(IF(LEFT(D48,1)="K","rxn",VLOOKUP(D48,Additional_Supply_Catalog!$A:$K,9,FALSE())),"")</f>
        <v>mL</v>
      </c>
    </row>
    <row r="49" customFormat="false" ht="15" hidden="false" customHeight="true" outlineLevel="0" collapsed="false">
      <c r="A49" s="85" t="s">
        <v>924</v>
      </c>
      <c r="B49" s="85" t="s">
        <v>901</v>
      </c>
      <c r="C49" s="85" t="s">
        <v>411</v>
      </c>
      <c r="D49" s="85" t="s">
        <v>934</v>
      </c>
      <c r="E49" s="85" t="s">
        <v>13</v>
      </c>
      <c r="F49" s="86" t="n">
        <v>0.5</v>
      </c>
      <c r="G49" s="85" t="s">
        <v>397</v>
      </c>
      <c r="H49" s="87" t="n">
        <f aca="false">Inputs!$B$20</f>
        <v>0.1</v>
      </c>
      <c r="I49" s="88" t="n">
        <f aca="false">VLOOKUP(E49,Inputs!$D$5:$E$23,2,FALSE())</f>
        <v>1</v>
      </c>
      <c r="J49" s="89" t="n">
        <f aca="false">F49*I49*(1+H49)</f>
        <v>0.55</v>
      </c>
      <c r="K49" s="90" t="n">
        <f aca="false">IF(ISNUMBER(MATCH(G49,{"tube","each","plate","vial","kit","bottle","aliquot","strainer","cap","lane-rxn","tip","strip","lane","channel","library","sample"},0)),ROUNDUP(J49,0),ROUND(J49,2))</f>
        <v>0.55</v>
      </c>
      <c r="L49" s="91" t="str">
        <f aca="false">IFERROR(IF(OR(D49="",P49="",Q49="",Q49=0),"",IF(VLOOKUP(R49,Unit_Conversions!$A$5:$C$28,3,FALSE())=VLOOKUP(G49,Unit_Conversions!$A$5:$C$28,3,FALSE()),P49*VLOOKUP(G49,Unit_Conversions!$A$5:$C$28,2,FALSE())/(Q49*VLOOKUP(R49,Unit_Conversions!$A$5:$C$28,2,FALSE())),"")),"")</f>
        <v/>
      </c>
      <c r="M49" s="92" t="str">
        <f aca="false">IFERROR(F49*L49,"")</f>
        <v/>
      </c>
      <c r="N49" s="93" t="str">
        <f aca="false">IFERROR(J49*L49,"")</f>
        <v/>
      </c>
      <c r="O49" s="94" t="s">
        <v>903</v>
      </c>
      <c r="P49" s="1" t="str">
        <f aca="false">IFERROR(IF(LEFT(D49,1)="K",VLOOKUP(D49,Kit_Catalog!$A:$K,8,FALSE()),VLOOKUP(D49,Additional_Supply_Catalog!$A:$K,7,FALSE())),"")</f>
        <v/>
      </c>
      <c r="Q49" s="1" t="str">
        <f aca="false">IFERROR(IF(LEFT(D49,1)="K",VLOOKUP(D49,Kit_Catalog!$A:$K,7,FALSE()),VLOOKUP(D49,Additional_Supply_Catalog!$A:$K,8,FALSE())),"")</f>
        <v/>
      </c>
      <c r="R49" s="1" t="str">
        <f aca="false">IFERROR(IF(LEFT(D49,1)="K","rxn",VLOOKUP(D49,Additional_Supply_Catalog!$A:$K,9,FALSE())),"")</f>
        <v/>
      </c>
    </row>
    <row r="50" customFormat="false" ht="15" hidden="false" customHeight="true" outlineLevel="0" collapsed="false">
      <c r="A50" s="85" t="s">
        <v>924</v>
      </c>
      <c r="B50" s="85" t="s">
        <v>901</v>
      </c>
      <c r="C50" s="85" t="s">
        <v>935</v>
      </c>
      <c r="D50" s="85" t="s">
        <v>413</v>
      </c>
      <c r="E50" s="85" t="s">
        <v>13</v>
      </c>
      <c r="F50" s="86" t="n">
        <v>3</v>
      </c>
      <c r="G50" s="85" t="s">
        <v>418</v>
      </c>
      <c r="H50" s="87" t="n">
        <f aca="false">Inputs!$B$20</f>
        <v>0.1</v>
      </c>
      <c r="I50" s="88" t="n">
        <f aca="false">VLOOKUP(E50,Inputs!$D$5:$E$23,2,FALSE())</f>
        <v>1</v>
      </c>
      <c r="J50" s="89" t="n">
        <f aca="false">F50*I50*(1+H50)</f>
        <v>3.3</v>
      </c>
      <c r="K50" s="90" t="n">
        <f aca="false">IF(ISNUMBER(MATCH(G50,{"tube","each","plate","vial","kit","bottle","aliquot","strainer","cap","lane-rxn","tip","strip","lane","channel","library","sample"},0)),ROUNDUP(J50,0),ROUND(J50,2))</f>
        <v>4</v>
      </c>
      <c r="L50" s="91" t="n">
        <f aca="false">IFERROR(IF(OR(D50="",P50="",Q50="",Q50=0),"",IF(VLOOKUP(R50,Unit_Conversions!$A$5:$C$28,3,FALSE())=VLOOKUP(G50,Unit_Conversions!$A$5:$C$28,3,FALSE()),P50*VLOOKUP(G50,Unit_Conversions!$A$5:$C$28,2,FALSE())/(Q50*VLOOKUP(R50,Unit_Conversions!$A$5:$C$28,2,FALSE())),"")),"")</f>
        <v>909.3</v>
      </c>
      <c r="M50" s="92" t="n">
        <f aca="false">IFERROR(F50*L50,"")</f>
        <v>2727.9</v>
      </c>
      <c r="N50" s="93" t="n">
        <f aca="false">IFERROR(J50*L50,"")</f>
        <v>3000.69</v>
      </c>
      <c r="O50" s="94"/>
      <c r="P50" s="1" t="n">
        <f aca="false">IFERROR(IF(LEFT(D50,1)="K",VLOOKUP(D50,Kit_Catalog!$A:$K,8,FALSE()),VLOOKUP(D50,Additional_Supply_Catalog!$A:$K,7,FALSE())),"")</f>
        <v>4546.5</v>
      </c>
      <c r="Q50" s="1" t="n">
        <f aca="false">IFERROR(IF(LEFT(D50,1)="K",VLOOKUP(D50,Kit_Catalog!$A:$K,7,FALSE()),VLOOKUP(D50,Additional_Supply_Catalog!$A:$K,8,FALSE())),"")</f>
        <v>5</v>
      </c>
      <c r="R50" s="1" t="str">
        <f aca="false">IFERROR(IF(LEFT(D50,1)="K","rxn",VLOOKUP(D50,Additional_Supply_Catalog!$A:$K,9,FALSE())),"")</f>
        <v>vial</v>
      </c>
    </row>
    <row r="51" customFormat="false" ht="15" hidden="false" customHeight="true" outlineLevel="0" collapsed="false">
      <c r="A51" s="85" t="s">
        <v>924</v>
      </c>
      <c r="B51" s="85" t="s">
        <v>901</v>
      </c>
      <c r="C51" s="85" t="s">
        <v>921</v>
      </c>
      <c r="D51" s="85" t="s">
        <v>339</v>
      </c>
      <c r="E51" s="85" t="s">
        <v>13</v>
      </c>
      <c r="F51" s="86" t="n">
        <v>2.45</v>
      </c>
      <c r="G51" s="85" t="s">
        <v>337</v>
      </c>
      <c r="H51" s="87" t="n">
        <f aca="false">Inputs!$B$20</f>
        <v>0.1</v>
      </c>
      <c r="I51" s="88" t="n">
        <f aca="false">VLOOKUP(E51,Inputs!$D$5:$E$23,2,FALSE())</f>
        <v>1</v>
      </c>
      <c r="J51" s="89" t="n">
        <f aca="false">F51*I51*(1+H51)</f>
        <v>2.695</v>
      </c>
      <c r="K51" s="90" t="n">
        <f aca="false">IF(ISNUMBER(MATCH(G51,{"tube","each","plate","vial","kit","bottle","aliquot","strainer","cap","lane-rxn","tip","strip","lane","channel","library","sample"},0)),ROUNDUP(J51,0),ROUND(J51,2))</f>
        <v>2.7</v>
      </c>
      <c r="L51" s="91" t="n">
        <f aca="false">IFERROR(IF(OR(D51="",P51="",Q51="",Q51=0),"",IF(VLOOKUP(R51,Unit_Conversions!$A$5:$C$28,3,FALSE())=VLOOKUP(G51,Unit_Conversions!$A$5:$C$28,3,FALSE()),P51*VLOOKUP(G51,Unit_Conversions!$A$5:$C$28,2,FALSE())/(Q51*VLOOKUP(R51,Unit_Conversions!$A$5:$C$28,2,FALSE())),"")),"")</f>
        <v>0.03804</v>
      </c>
      <c r="M51" s="92" t="n">
        <f aca="false">IFERROR(F51*L51,"")</f>
        <v>0.093198</v>
      </c>
      <c r="N51" s="93" t="n">
        <f aca="false">IFERROR(J51*L51,"")</f>
        <v>0.1025178</v>
      </c>
      <c r="O51" s="94"/>
      <c r="P51" s="1" t="n">
        <f aca="false">IFERROR(IF(LEFT(D51,1)="K",VLOOKUP(D51,Kit_Catalog!$A:$K,8,FALSE()),VLOOKUP(D51,Additional_Supply_Catalog!$A:$K,7,FALSE())),"")</f>
        <v>19.02</v>
      </c>
      <c r="Q51" s="1" t="n">
        <f aca="false">IFERROR(IF(LEFT(D51,1)="K",VLOOKUP(D51,Kit_Catalog!$A:$K,7,FALSE()),VLOOKUP(D51,Additional_Supply_Catalog!$A:$K,8,FALSE())),"")</f>
        <v>500</v>
      </c>
      <c r="R51" s="1" t="str">
        <f aca="false">IFERROR(IF(LEFT(D51,1)="K","rxn",VLOOKUP(D51,Additional_Supply_Catalog!$A:$K,9,FALSE())),"")</f>
        <v>mL</v>
      </c>
    </row>
    <row r="52" customFormat="false" ht="15" hidden="false" customHeight="true" outlineLevel="0" collapsed="false">
      <c r="A52" s="85" t="s">
        <v>924</v>
      </c>
      <c r="B52" s="85" t="s">
        <v>901</v>
      </c>
      <c r="C52" s="85" t="s">
        <v>335</v>
      </c>
      <c r="D52" s="85" t="s">
        <v>333</v>
      </c>
      <c r="E52" s="85" t="s">
        <v>13</v>
      </c>
      <c r="F52" s="86" t="n">
        <v>0.97</v>
      </c>
      <c r="G52" s="85" t="s">
        <v>337</v>
      </c>
      <c r="H52" s="87" t="n">
        <f aca="false">Inputs!$B$20</f>
        <v>0.1</v>
      </c>
      <c r="I52" s="88" t="n">
        <f aca="false">VLOOKUP(E52,Inputs!$D$5:$E$23,2,FALSE())</f>
        <v>1</v>
      </c>
      <c r="J52" s="89" t="n">
        <f aca="false">F52*I52*(1+H52)</f>
        <v>1.067</v>
      </c>
      <c r="K52" s="90" t="n">
        <f aca="false">IF(ISNUMBER(MATCH(G52,{"tube","each","plate","vial","kit","bottle","aliquot","strainer","cap","lane-rxn","tip","strip","lane","channel","library","sample"},0)),ROUNDUP(J52,0),ROUND(J52,2))</f>
        <v>1.07</v>
      </c>
      <c r="L52" s="91" t="n">
        <f aca="false">IFERROR(IF(OR(D52="",P52="",Q52="",Q52=0),"",IF(VLOOKUP(R52,Unit_Conversions!$A$5:$C$28,3,FALSE())=VLOOKUP(G52,Unit_Conversions!$A$5:$C$28,3,FALSE()),P52*VLOOKUP(G52,Unit_Conversions!$A$5:$C$28,2,FALSE())/(Q52*VLOOKUP(R52,Unit_Conversions!$A$5:$C$28,2,FALSE())),"")),"")</f>
        <v>0.02772</v>
      </c>
      <c r="M52" s="92" t="n">
        <f aca="false">IFERROR(F52*L52,"")</f>
        <v>0.0268884</v>
      </c>
      <c r="N52" s="93" t="n">
        <f aca="false">IFERROR(J52*L52,"")</f>
        <v>0.02957724</v>
      </c>
      <c r="O52" s="94" t="s">
        <v>903</v>
      </c>
      <c r="P52" s="1" t="n">
        <f aca="false">IFERROR(IF(LEFT(D52,1)="K",VLOOKUP(D52,Kit_Catalog!$A:$K,8,FALSE()),VLOOKUP(D52,Additional_Supply_Catalog!$A:$K,7,FALSE())),"")</f>
        <v>13.86</v>
      </c>
      <c r="Q52" s="1" t="n">
        <f aca="false">IFERROR(IF(LEFT(D52,1)="K",VLOOKUP(D52,Kit_Catalog!$A:$K,7,FALSE()),VLOOKUP(D52,Additional_Supply_Catalog!$A:$K,8,FALSE())),"")</f>
        <v>500</v>
      </c>
      <c r="R52" s="1" t="str">
        <f aca="false">IFERROR(IF(LEFT(D52,1)="K","rxn",VLOOKUP(D52,Additional_Supply_Catalog!$A:$K,9,FALSE())),"")</f>
        <v>mL</v>
      </c>
    </row>
    <row r="53" customFormat="false" ht="15" hidden="false" customHeight="true" outlineLevel="0" collapsed="false">
      <c r="A53" s="85" t="s">
        <v>924</v>
      </c>
      <c r="B53" s="85" t="s">
        <v>901</v>
      </c>
      <c r="C53" s="85" t="s">
        <v>468</v>
      </c>
      <c r="D53" s="85" t="s">
        <v>466</v>
      </c>
      <c r="E53" s="85" t="s">
        <v>13</v>
      </c>
      <c r="F53" s="86" t="n">
        <v>0.18</v>
      </c>
      <c r="G53" s="85" t="s">
        <v>404</v>
      </c>
      <c r="H53" s="87" t="n">
        <f aca="false">Inputs!$B$20</f>
        <v>0.1</v>
      </c>
      <c r="I53" s="88" t="n">
        <f aca="false">VLOOKUP(E53,Inputs!$D$5:$E$23,2,FALSE())</f>
        <v>1</v>
      </c>
      <c r="J53" s="89" t="n">
        <f aca="false">F53*I53*(1+H53)</f>
        <v>0.198</v>
      </c>
      <c r="K53" s="90" t="n">
        <f aca="false">IF(ISNUMBER(MATCH(G53,{"tube","each","plate","vial","kit","bottle","aliquot","strainer","cap","lane-rxn","tip","strip","lane","channel","library","sample"},0)),ROUNDUP(J53,0),ROUND(J53,2))</f>
        <v>0.2</v>
      </c>
      <c r="L53" s="91" t="n">
        <f aca="false">IFERROR(IF(OR(D53="",P53="",Q53="",Q53=0),"",IF(VLOOKUP(R53,Unit_Conversions!$A$5:$C$28,3,FALSE())=VLOOKUP(G53,Unit_Conversions!$A$5:$C$28,3,FALSE()),P53*VLOOKUP(G53,Unit_Conversions!$A$5:$C$28,2,FALSE())/(Q53*VLOOKUP(R53,Unit_Conversions!$A$5:$C$28,2,FALSE())),"")),"")</f>
        <v>4.152</v>
      </c>
      <c r="M53" s="92" t="n">
        <f aca="false">IFERROR(F53*L53,"")</f>
        <v>0.74736</v>
      </c>
      <c r="N53" s="93" t="n">
        <f aca="false">IFERROR(J53*L53,"")</f>
        <v>0.822096</v>
      </c>
      <c r="O53" s="94" t="s">
        <v>936</v>
      </c>
      <c r="P53" s="1" t="n">
        <f aca="false">IFERROR(IF(LEFT(D53,1)="K",VLOOKUP(D53,Kit_Catalog!$A:$K,8,FALSE()),VLOOKUP(D53,Additional_Supply_Catalog!$A:$K,7,FALSE())),"")</f>
        <v>103.8</v>
      </c>
      <c r="Q53" s="1" t="n">
        <f aca="false">IFERROR(IF(LEFT(D53,1)="K",VLOOKUP(D53,Kit_Catalog!$A:$K,7,FALSE()),VLOOKUP(D53,Additional_Supply_Catalog!$A:$K,8,FALSE())),"")</f>
        <v>25</v>
      </c>
      <c r="R53" s="1" t="str">
        <f aca="false">IFERROR(IF(LEFT(D53,1)="K","rxn",VLOOKUP(D53,Additional_Supply_Catalog!$A:$K,9,FALSE())),"")</f>
        <v>g</v>
      </c>
    </row>
    <row r="54" customFormat="false" ht="15" hidden="false" customHeight="true" outlineLevel="0" collapsed="false">
      <c r="A54" s="85" t="s">
        <v>924</v>
      </c>
      <c r="B54" s="85" t="s">
        <v>901</v>
      </c>
      <c r="C54" s="85" t="s">
        <v>916</v>
      </c>
      <c r="D54" s="85" t="s">
        <v>551</v>
      </c>
      <c r="E54" s="85" t="s">
        <v>13</v>
      </c>
      <c r="F54" s="86" t="n">
        <v>1</v>
      </c>
      <c r="G54" s="85" t="s">
        <v>548</v>
      </c>
      <c r="H54" s="87" t="n">
        <f aca="false">Inputs!$B$20</f>
        <v>0.1</v>
      </c>
      <c r="I54" s="88" t="n">
        <f aca="false">VLOOKUP(E54,Inputs!$D$5:$E$23,2,FALSE())</f>
        <v>1</v>
      </c>
      <c r="J54" s="89" t="n">
        <f aca="false">F54*I54*(1+H54)</f>
        <v>1.1</v>
      </c>
      <c r="K54" s="90" t="n">
        <f aca="false">IF(ISNUMBER(MATCH(G54,{"tube","each","plate","vial","kit","bottle","aliquot","strainer","cap","lane-rxn","tip","strip","lane","channel","library","sample"},0)),ROUNDUP(J54,0),ROUND(J54,2))</f>
        <v>2</v>
      </c>
      <c r="L54" s="91" t="n">
        <f aca="false">IFERROR(IF(OR(D54="",P54="",Q54="",Q54=0),"",IF(VLOOKUP(R54,Unit_Conversions!$A$5:$C$28,3,FALSE())=VLOOKUP(G54,Unit_Conversions!$A$5:$C$28,3,FALSE()),P54*VLOOKUP(G54,Unit_Conversions!$A$5:$C$28,2,FALSE())/(Q54*VLOOKUP(R54,Unit_Conversions!$A$5:$C$28,2,FALSE())),"")),"")</f>
        <v>0.17956</v>
      </c>
      <c r="M54" s="92" t="n">
        <f aca="false">IFERROR(F54*L54,"")</f>
        <v>0.17956</v>
      </c>
      <c r="N54" s="93" t="n">
        <f aca="false">IFERROR(J54*L54,"")</f>
        <v>0.197516</v>
      </c>
      <c r="O54" s="94"/>
      <c r="P54" s="1" t="n">
        <f aca="false">IFERROR(IF(LEFT(D54,1)="K",VLOOKUP(D54,Kit_Catalog!$A:$K,8,FALSE()),VLOOKUP(D54,Additional_Supply_Catalog!$A:$K,7,FALSE())),"")</f>
        <v>44.89</v>
      </c>
      <c r="Q54" s="1" t="n">
        <f aca="false">IFERROR(IF(LEFT(D54,1)="K",VLOOKUP(D54,Kit_Catalog!$A:$K,7,FALSE()),VLOOKUP(D54,Additional_Supply_Catalog!$A:$K,8,FALSE())),"")</f>
        <v>250</v>
      </c>
      <c r="R54" s="1" t="str">
        <f aca="false">IFERROR(IF(LEFT(D54,1)="K","rxn",VLOOKUP(D54,Additional_Supply_Catalog!$A:$K,9,FALSE())),"")</f>
        <v>tube</v>
      </c>
    </row>
    <row r="55" customFormat="false" ht="15" hidden="false" customHeight="true" outlineLevel="0" collapsed="false">
      <c r="A55" s="85" t="s">
        <v>924</v>
      </c>
      <c r="B55" s="85" t="s">
        <v>901</v>
      </c>
      <c r="C55" s="85" t="s">
        <v>910</v>
      </c>
      <c r="D55" s="85" t="s">
        <v>555</v>
      </c>
      <c r="E55" s="85" t="s">
        <v>13</v>
      </c>
      <c r="F55" s="86" t="n">
        <v>1</v>
      </c>
      <c r="G55" s="85" t="s">
        <v>548</v>
      </c>
      <c r="H55" s="87" t="n">
        <f aca="false">Inputs!$B$20</f>
        <v>0.1</v>
      </c>
      <c r="I55" s="88" t="n">
        <f aca="false">VLOOKUP(E55,Inputs!$D$5:$E$23,2,FALSE())</f>
        <v>1</v>
      </c>
      <c r="J55" s="89" t="n">
        <f aca="false">F55*I55*(1+H55)</f>
        <v>1.1</v>
      </c>
      <c r="K55" s="90" t="n">
        <f aca="false">IF(ISNUMBER(MATCH(G55,{"tube","each","plate","vial","kit","bottle","aliquot","strainer","cap","lane-rxn","tip","strip","lane","channel","library","sample"},0)),ROUNDUP(J55,0),ROUND(J55,2))</f>
        <v>2</v>
      </c>
      <c r="L55" s="91" t="n">
        <f aca="false">IFERROR(IF(OR(D55="",P55="",Q55="",Q55=0),"",IF(VLOOKUP(R55,Unit_Conversions!$A$5:$C$28,3,FALSE())=VLOOKUP(G55,Unit_Conversions!$A$5:$C$28,3,FALSE()),P55*VLOOKUP(G55,Unit_Conversions!$A$5:$C$28,2,FALSE())/(Q55*VLOOKUP(R55,Unit_Conversions!$A$5:$C$28,2,FALSE())),"")),"")</f>
        <v>0.244</v>
      </c>
      <c r="M55" s="92" t="n">
        <f aca="false">IFERROR(F55*L55,"")</f>
        <v>0.244</v>
      </c>
      <c r="N55" s="93" t="n">
        <f aca="false">IFERROR(J55*L55,"")</f>
        <v>0.2684</v>
      </c>
      <c r="O55" s="94" t="s">
        <v>903</v>
      </c>
      <c r="P55" s="1" t="n">
        <f aca="false">IFERROR(IF(LEFT(D55,1)="K",VLOOKUP(D55,Kit_Catalog!$A:$K,8,FALSE()),VLOOKUP(D55,Additional_Supply_Catalog!$A:$K,7,FALSE())),"")</f>
        <v>6.1</v>
      </c>
      <c r="Q55" s="1" t="n">
        <f aca="false">IFERROR(IF(LEFT(D55,1)="K",VLOOKUP(D55,Kit_Catalog!$A:$K,7,FALSE()),VLOOKUP(D55,Additional_Supply_Catalog!$A:$K,8,FALSE())),"")</f>
        <v>25</v>
      </c>
      <c r="R55" s="1" t="str">
        <f aca="false">IFERROR(IF(LEFT(D55,1)="K","rxn",VLOOKUP(D55,Additional_Supply_Catalog!$A:$K,9,FALSE())),"")</f>
        <v>tube</v>
      </c>
    </row>
    <row r="56" customFormat="false" ht="15" hidden="false" customHeight="true" outlineLevel="0" collapsed="false">
      <c r="A56" s="85" t="s">
        <v>924</v>
      </c>
      <c r="B56" s="85" t="s">
        <v>901</v>
      </c>
      <c r="C56" s="85" t="s">
        <v>937</v>
      </c>
      <c r="D56" s="85" t="s">
        <v>557</v>
      </c>
      <c r="E56" s="85" t="s">
        <v>13</v>
      </c>
      <c r="F56" s="86" t="n">
        <v>0.125</v>
      </c>
      <c r="G56" s="85" t="s">
        <v>562</v>
      </c>
      <c r="H56" s="87" t="n">
        <f aca="false">Inputs!$B$20</f>
        <v>0.1</v>
      </c>
      <c r="I56" s="88" t="n">
        <f aca="false">VLOOKUP(E56,Inputs!$D$5:$E$23,2,FALSE())</f>
        <v>1</v>
      </c>
      <c r="J56" s="89" t="n">
        <f aca="false">F56*I56*(1+H56)</f>
        <v>0.1375</v>
      </c>
      <c r="K56" s="90" t="n">
        <f aca="false">IF(ISNUMBER(MATCH(G56,{"tube","each","plate","vial","kit","bottle","aliquot","strainer","cap","lane-rxn","tip","strip","lane","channel","library","sample"},0)),ROUNDUP(J56,0),ROUND(J56,2))</f>
        <v>1</v>
      </c>
      <c r="L56" s="91" t="n">
        <f aca="false">IFERROR(IF(OR(D56="",P56="",Q56="",Q56=0),"",IF(VLOOKUP(R56,Unit_Conversions!$A$5:$C$28,3,FALSE())=VLOOKUP(G56,Unit_Conversions!$A$5:$C$28,3,FALSE()),P56*VLOOKUP(G56,Unit_Conversions!$A$5:$C$28,2,FALSE())/(Q56*VLOOKUP(R56,Unit_Conversions!$A$5:$C$28,2,FALSE())),"")),"")</f>
        <v>0.7804</v>
      </c>
      <c r="M56" s="92" t="n">
        <f aca="false">IFERROR(F56*L56,"")</f>
        <v>0.09755</v>
      </c>
      <c r="N56" s="93" t="n">
        <f aca="false">IFERROR(J56*L56,"")</f>
        <v>0.107305</v>
      </c>
      <c r="O56" s="94"/>
      <c r="P56" s="1" t="n">
        <f aca="false">IFERROR(IF(LEFT(D56,1)="K",VLOOKUP(D56,Kit_Catalog!$A:$K,8,FALSE()),VLOOKUP(D56,Additional_Supply_Catalog!$A:$K,7,FALSE())),"")</f>
        <v>97.55</v>
      </c>
      <c r="Q56" s="1" t="n">
        <f aca="false">IFERROR(IF(LEFT(D56,1)="K",VLOOKUP(D56,Kit_Catalog!$A:$K,7,FALSE()),VLOOKUP(D56,Additional_Supply_Catalog!$A:$K,8,FALSE())),"")</f>
        <v>125</v>
      </c>
      <c r="R56" s="1" t="str">
        <f aca="false">IFERROR(IF(LEFT(D56,1)="K","rxn",VLOOKUP(D56,Additional_Supply_Catalog!$A:$K,9,FALSE())),"")</f>
        <v>strip</v>
      </c>
    </row>
    <row r="57" customFormat="false" ht="15" hidden="false" customHeight="true" outlineLevel="0" collapsed="false">
      <c r="A57" s="85" t="s">
        <v>924</v>
      </c>
      <c r="B57" s="85" t="s">
        <v>901</v>
      </c>
      <c r="C57" s="85" t="s">
        <v>574</v>
      </c>
      <c r="D57" s="85" t="s">
        <v>573</v>
      </c>
      <c r="E57" s="85" t="s">
        <v>13</v>
      </c>
      <c r="F57" s="86" t="n">
        <v>1</v>
      </c>
      <c r="G57" s="85" t="s">
        <v>373</v>
      </c>
      <c r="H57" s="87" t="n">
        <f aca="false">Inputs!$B$20</f>
        <v>0.1</v>
      </c>
      <c r="I57" s="88" t="n">
        <f aca="false">VLOOKUP(E57,Inputs!$D$5:$E$23,2,FALSE())</f>
        <v>1</v>
      </c>
      <c r="J57" s="89" t="n">
        <f aca="false">F57*I57*(1+H57)</f>
        <v>1.1</v>
      </c>
      <c r="K57" s="90" t="n">
        <f aca="false">IF(ISNUMBER(MATCH(G57,{"tube","each","plate","vial","kit","bottle","aliquot","strainer","cap","lane-rxn","tip","strip","lane","channel","library","sample"},0)),ROUNDUP(J57,0),ROUND(J57,2))</f>
        <v>2</v>
      </c>
      <c r="L57" s="91" t="n">
        <f aca="false">IFERROR(IF(OR(D57="",P57="",Q57="",Q57=0),"",IF(VLOOKUP(R57,Unit_Conversions!$A$5:$C$28,3,FALSE())=VLOOKUP(G57,Unit_Conversions!$A$5:$C$28,3,FALSE()),P57*VLOOKUP(G57,Unit_Conversions!$A$5:$C$28,2,FALSE())/(Q57*VLOOKUP(R57,Unit_Conversions!$A$5:$C$28,2,FALSE())),"")),"")</f>
        <v>2.28</v>
      </c>
      <c r="M57" s="92" t="n">
        <f aca="false">IFERROR(F57*L57,"")</f>
        <v>2.28</v>
      </c>
      <c r="N57" s="93" t="n">
        <f aca="false">IFERROR(J57*L57,"")</f>
        <v>2.508</v>
      </c>
      <c r="O57" s="94"/>
      <c r="P57" s="1" t="n">
        <f aca="false">IFERROR(IF(LEFT(D57,1)="K",VLOOKUP(D57,Kit_Catalog!$A:$K,8,FALSE()),VLOOKUP(D57,Additional_Supply_Catalog!$A:$K,7,FALSE())),"")</f>
        <v>114</v>
      </c>
      <c r="Q57" s="1" t="n">
        <f aca="false">IFERROR(IF(LEFT(D57,1)="K",VLOOKUP(D57,Kit_Catalog!$A:$K,7,FALSE()),VLOOKUP(D57,Additional_Supply_Catalog!$A:$K,8,FALSE())),"")</f>
        <v>50</v>
      </c>
      <c r="R57" s="1" t="str">
        <f aca="false">IFERROR(IF(LEFT(D57,1)="K","rxn",VLOOKUP(D57,Additional_Supply_Catalog!$A:$K,9,FALSE())),"")</f>
        <v>each</v>
      </c>
    </row>
    <row r="58" customFormat="false" ht="15" hidden="false" customHeight="true" outlineLevel="0" collapsed="false">
      <c r="A58" s="85" t="s">
        <v>938</v>
      </c>
      <c r="B58" s="85" t="s">
        <v>896</v>
      </c>
      <c r="C58" s="85" t="s">
        <v>939</v>
      </c>
      <c r="D58" s="85"/>
      <c r="E58" s="85" t="s">
        <v>898</v>
      </c>
      <c r="F58" s="86"/>
      <c r="G58" s="85" t="s">
        <v>337</v>
      </c>
      <c r="H58" s="87"/>
      <c r="I58" s="88"/>
      <c r="J58" s="89" t="n">
        <f aca="false">(65*Inputs!$B$6)*(1+Inputs!$B$20)</f>
        <v>429</v>
      </c>
      <c r="K58" s="90"/>
      <c r="L58" s="91"/>
      <c r="M58" s="92"/>
      <c r="N58" s="93"/>
      <c r="O58" s="94" t="s">
        <v>899</v>
      </c>
    </row>
    <row r="59" customFormat="false" ht="21.75" hidden="false" customHeight="true" outlineLevel="0" collapsed="false">
      <c r="A59" s="77" t="s">
        <v>938</v>
      </c>
      <c r="B59" s="77" t="s">
        <v>896</v>
      </c>
      <c r="C59" s="78" t="s">
        <v>940</v>
      </c>
      <c r="D59" s="77"/>
      <c r="E59" s="77" t="s">
        <v>898</v>
      </c>
      <c r="F59" s="79"/>
      <c r="G59" s="77" t="s">
        <v>337</v>
      </c>
      <c r="H59" s="77"/>
      <c r="I59" s="80"/>
      <c r="J59" s="81" t="n">
        <f aca="false">(0.25*Inputs!$B$6)*(1+Inputs!$B$20)</f>
        <v>1.65</v>
      </c>
      <c r="K59" s="82"/>
      <c r="L59" s="80"/>
      <c r="M59" s="83"/>
      <c r="N59" s="83"/>
      <c r="O59" s="84" t="s">
        <v>899</v>
      </c>
    </row>
    <row r="60" customFormat="false" ht="21.75" hidden="false" customHeight="true" outlineLevel="0" collapsed="false">
      <c r="A60" s="77" t="s">
        <v>938</v>
      </c>
      <c r="B60" s="77" t="s">
        <v>901</v>
      </c>
      <c r="C60" s="78" t="s">
        <v>917</v>
      </c>
      <c r="D60" s="77" t="s">
        <v>584</v>
      </c>
      <c r="E60" s="77" t="s">
        <v>11</v>
      </c>
      <c r="F60" s="79" t="n">
        <v>1</v>
      </c>
      <c r="G60" s="77" t="s">
        <v>548</v>
      </c>
      <c r="H60" s="103" t="n">
        <f aca="false">Inputs!$B$20</f>
        <v>0.1</v>
      </c>
      <c r="I60" s="80" t="n">
        <f aca="false">VLOOKUP(E60,Inputs!$D$5:$E$23,2,FALSE())</f>
        <v>6</v>
      </c>
      <c r="J60" s="81" t="n">
        <f aca="false">F60*I60*(1+H60)</f>
        <v>6.6</v>
      </c>
      <c r="K60" s="82" t="n">
        <f aca="false">IF(ISNUMBER(MATCH(G60,{"tube","each","plate","vial","kit","bottle","aliquot","strainer","cap","lane-rxn","tip","strip","lane","channel","library","sample"},0)),ROUNDUP(J60,0),ROUND(J60,2))</f>
        <v>7</v>
      </c>
      <c r="L60" s="80" t="str">
        <f aca="false">IFERROR(IF(OR(D60="",P60="",Q60="",Q60=0),"",IF(VLOOKUP(R60,Unit_Conversions!$A$5:$C$28,3,FALSE())=VLOOKUP(G60,Unit_Conversions!$A$5:$C$28,3,FALSE()),P60*VLOOKUP(G60,Unit_Conversions!$A$5:$C$28,2,FALSE())/(Q60*VLOOKUP(R60,Unit_Conversions!$A$5:$C$28,2,FALSE())),"")),"")</f>
        <v/>
      </c>
      <c r="M60" s="83" t="str">
        <f aca="false">IFERROR(F60*L60,"")</f>
        <v/>
      </c>
      <c r="N60" s="83" t="str">
        <f aca="false">IFERROR(J60*L60,"")</f>
        <v/>
      </c>
      <c r="O60" s="84" t="s">
        <v>903</v>
      </c>
      <c r="P60" s="1" t="n">
        <f aca="false">IFERROR(IF(LEFT(D60,1)="K",VLOOKUP(D60,Kit_Catalog!$A:$K,8,FALSE()),VLOOKUP(D60,Additional_Supply_Catalog!$A:$K,7,FALSE())),"")</f>
        <v>19.16</v>
      </c>
      <c r="Q60" s="1" t="n">
        <f aca="false">IFERROR(IF(LEFT(D60,1)="K",VLOOKUP(D60,Kit_Catalog!$A:$K,7,FALSE()),VLOOKUP(D60,Additional_Supply_Catalog!$A:$K,8,FALSE())),"")</f>
        <v>12</v>
      </c>
      <c r="R60" s="1" t="n">
        <f aca="false">IFERROR(IF(LEFT(D60,1)="K","rxn",VLOOKUP(D60,Additional_Supply_Catalog!$A:$K,9,FALSE())),"")</f>
        <v>0</v>
      </c>
    </row>
    <row r="61" customFormat="false" ht="15" hidden="false" customHeight="true" outlineLevel="0" collapsed="false">
      <c r="A61" s="96" t="s">
        <v>938</v>
      </c>
      <c r="B61" s="96" t="s">
        <v>901</v>
      </c>
      <c r="C61" s="96" t="s">
        <v>601</v>
      </c>
      <c r="D61" s="96" t="s">
        <v>600</v>
      </c>
      <c r="E61" s="96" t="s">
        <v>11</v>
      </c>
      <c r="F61" s="97" t="n">
        <v>61.5</v>
      </c>
      <c r="G61" s="96" t="s">
        <v>397</v>
      </c>
      <c r="H61" s="98" t="n">
        <f aca="false">Inputs!$B$20</f>
        <v>0.1</v>
      </c>
      <c r="I61" s="99" t="n">
        <f aca="false">VLOOKUP(E61,Inputs!$D$5:$E$23,2,FALSE())</f>
        <v>6</v>
      </c>
      <c r="J61" s="100" t="n">
        <f aca="false">F61*I61*(1+H61)</f>
        <v>405.9</v>
      </c>
      <c r="K61" s="101" t="n">
        <f aca="false">IF(ISNUMBER(MATCH(G61,{"tube","each","plate","vial","kit","bottle","aliquot","strainer","cap","lane-rxn","tip","strip","lane","channel","library","sample"},0)),ROUNDUP(J61,0),ROUND(J61,2))</f>
        <v>405.9</v>
      </c>
      <c r="L61" s="91" t="str">
        <f aca="false">IFERROR(IF(OR(D61="",P61="",Q61="",Q61=0),"",IF(VLOOKUP(R61,Unit_Conversions!$A$5:$C$28,3,FALSE())=VLOOKUP(G61,Unit_Conversions!$A$5:$C$28,3,FALSE()),P61*VLOOKUP(G61,Unit_Conversions!$A$5:$C$28,2,FALSE())/(Q61*VLOOKUP(R61,Unit_Conversions!$A$5:$C$28,2,FALSE())),"")),"")</f>
        <v/>
      </c>
      <c r="M61" s="92" t="str">
        <f aca="false">IFERROR(F61*L61,"")</f>
        <v/>
      </c>
      <c r="N61" s="93" t="str">
        <f aca="false">IFERROR(J61*L61,"")</f>
        <v/>
      </c>
      <c r="O61" s="102" t="s">
        <v>941</v>
      </c>
      <c r="P61" s="1" t="n">
        <f aca="false">IFERROR(IF(LEFT(D61,1)="K",VLOOKUP(D61,Kit_Catalog!$A:$K,8,FALSE()),VLOOKUP(D61,Additional_Supply_Catalog!$A:$K,7,FALSE())),"")</f>
        <v>0</v>
      </c>
      <c r="Q61" s="1" t="n">
        <f aca="false">IFERROR(IF(LEFT(D61,1)="K",VLOOKUP(D61,Kit_Catalog!$A:$K,7,FALSE()),VLOOKUP(D61,Additional_Supply_Catalog!$A:$K,8,FALSE())),"")</f>
        <v>1</v>
      </c>
      <c r="R61" s="1" t="str">
        <f aca="false">IFERROR(IF(LEFT(D61,1)="K","rxn",VLOOKUP(D61,Additional_Supply_Catalog!$A:$K,9,FALSE())),"")</f>
        <v>sample</v>
      </c>
    </row>
    <row r="62" customFormat="false" ht="15" hidden="false" customHeight="true" outlineLevel="0" collapsed="false">
      <c r="A62" s="96" t="s">
        <v>938</v>
      </c>
      <c r="B62" s="96" t="s">
        <v>901</v>
      </c>
      <c r="C62" s="96" t="s">
        <v>919</v>
      </c>
      <c r="D62" s="96" t="s">
        <v>431</v>
      </c>
      <c r="E62" s="96" t="s">
        <v>11</v>
      </c>
      <c r="F62" s="97" t="n">
        <v>10</v>
      </c>
      <c r="G62" s="96" t="s">
        <v>397</v>
      </c>
      <c r="H62" s="98" t="n">
        <f aca="false">Inputs!$B$20</f>
        <v>0.1</v>
      </c>
      <c r="I62" s="99" t="n">
        <f aca="false">VLOOKUP(E62,Inputs!$D$5:$E$23,2,FALSE())</f>
        <v>6</v>
      </c>
      <c r="J62" s="100" t="n">
        <f aca="false">F62*I62*(1+H62)</f>
        <v>66</v>
      </c>
      <c r="K62" s="101" t="n">
        <f aca="false">IF(ISNUMBER(MATCH(G62,{"tube","each","plate","vial","kit","bottle","aliquot","strainer","cap","lane-rxn","tip","strip","lane","channel","library","sample"},0)),ROUNDUP(J62,0),ROUND(J62,2))</f>
        <v>66</v>
      </c>
      <c r="L62" s="91" t="n">
        <f aca="false">IFERROR(IF(OR(D62="",P62="",Q62="",Q62=0),"",IF(VLOOKUP(R62,Unit_Conversions!$A$5:$C$28,3,FALSE())=VLOOKUP(G62,Unit_Conversions!$A$5:$C$28,3,FALSE()),P62*VLOOKUP(G62,Unit_Conversions!$A$5:$C$28,2,FALSE())/(Q62*VLOOKUP(R62,Unit_Conversions!$A$5:$C$28,2,FALSE())),"")),"")</f>
        <v>0.229</v>
      </c>
      <c r="M62" s="92" t="n">
        <f aca="false">IFERROR(F62*L62,"")</f>
        <v>2.29</v>
      </c>
      <c r="N62" s="93" t="n">
        <f aca="false">IFERROR(J62*L62,"")</f>
        <v>15.114</v>
      </c>
      <c r="O62" s="102" t="s">
        <v>942</v>
      </c>
      <c r="P62" s="1" t="n">
        <f aca="false">IFERROR(IF(LEFT(D62,1)="K",VLOOKUP(D62,Kit_Catalog!$A:$K,8,FALSE()),VLOOKUP(D62,Additional_Supply_Catalog!$A:$K,7,FALSE())),"")</f>
        <v>229</v>
      </c>
      <c r="Q62" s="1" t="n">
        <f aca="false">IFERROR(IF(LEFT(D62,1)="K",VLOOKUP(D62,Kit_Catalog!$A:$K,7,FALSE()),VLOOKUP(D62,Additional_Supply_Catalog!$A:$K,8,FALSE())),"")</f>
        <v>1000</v>
      </c>
      <c r="R62" s="1" t="str">
        <f aca="false">IFERROR(IF(LEFT(D62,1)="K","rxn",VLOOKUP(D62,Additional_Supply_Catalog!$A:$K,9,FALSE())),"")</f>
        <v>uL</v>
      </c>
    </row>
    <row r="63" customFormat="false" ht="15" hidden="false" customHeight="true" outlineLevel="0" collapsed="false">
      <c r="A63" s="96" t="s">
        <v>938</v>
      </c>
      <c r="B63" s="96" t="s">
        <v>901</v>
      </c>
      <c r="C63" s="96" t="s">
        <v>502</v>
      </c>
      <c r="D63" s="96" t="s">
        <v>500</v>
      </c>
      <c r="E63" s="96" t="s">
        <v>11</v>
      </c>
      <c r="F63" s="97" t="n">
        <v>2.5</v>
      </c>
      <c r="G63" s="96" t="s">
        <v>337</v>
      </c>
      <c r="H63" s="98" t="n">
        <f aca="false">Inputs!$B$20</f>
        <v>0.1</v>
      </c>
      <c r="I63" s="99" t="n">
        <f aca="false">VLOOKUP(E63,Inputs!$D$5:$E$23,2,FALSE())</f>
        <v>6</v>
      </c>
      <c r="J63" s="100" t="n">
        <f aca="false">F63*I63*(1+H63)</f>
        <v>16.5</v>
      </c>
      <c r="K63" s="101" t="n">
        <f aca="false">IF(ISNUMBER(MATCH(G63,{"tube","each","plate","vial","kit","bottle","aliquot","strainer","cap","lane-rxn","tip","strip","lane","channel","library","sample"},0)),ROUNDUP(J63,0),ROUND(J63,2))</f>
        <v>16.5</v>
      </c>
      <c r="L63" s="91" t="n">
        <f aca="false">IFERROR(IF(OR(D63="",P63="",Q63="",Q63=0),"",IF(VLOOKUP(R63,Unit_Conversions!$A$5:$C$28,3,FALSE())=VLOOKUP(G63,Unit_Conversions!$A$5:$C$28,3,FALSE()),P63*VLOOKUP(G63,Unit_Conversions!$A$5:$C$28,2,FALSE())/(Q63*VLOOKUP(R63,Unit_Conversions!$A$5:$C$28,2,FALSE())),"")),"")</f>
        <v>0.71342</v>
      </c>
      <c r="M63" s="92" t="n">
        <f aca="false">IFERROR(F63*L63,"")</f>
        <v>1.78355</v>
      </c>
      <c r="N63" s="93" t="n">
        <f aca="false">IFERROR(J63*L63,"")</f>
        <v>11.77143</v>
      </c>
      <c r="O63" s="102"/>
      <c r="P63" s="1" t="n">
        <f aca="false">IFERROR(IF(LEFT(D63,1)="K",VLOOKUP(D63,Kit_Catalog!$A:$K,8,FALSE()),VLOOKUP(D63,Additional_Supply_Catalog!$A:$K,7,FALSE())),"")</f>
        <v>356.71</v>
      </c>
      <c r="Q63" s="1" t="n">
        <f aca="false">IFERROR(IF(LEFT(D63,1)="K",VLOOKUP(D63,Kit_Catalog!$A:$K,7,FALSE()),VLOOKUP(D63,Additional_Supply_Catalog!$A:$K,8,FALSE())),"")</f>
        <v>500</v>
      </c>
      <c r="R63" s="1" t="str">
        <f aca="false">IFERROR(IF(LEFT(D63,1)="K","rxn",VLOOKUP(D63,Additional_Supply_Catalog!$A:$K,9,FALSE())),"")</f>
        <v>mL</v>
      </c>
    </row>
    <row r="64" customFormat="false" ht="15" hidden="false" customHeight="true" outlineLevel="0" collapsed="false">
      <c r="A64" s="96" t="s">
        <v>938</v>
      </c>
      <c r="B64" s="96" t="s">
        <v>901</v>
      </c>
      <c r="C64" s="96" t="s">
        <v>921</v>
      </c>
      <c r="D64" s="96" t="s">
        <v>339</v>
      </c>
      <c r="E64" s="96" t="s">
        <v>11</v>
      </c>
      <c r="F64" s="97" t="n">
        <v>6</v>
      </c>
      <c r="G64" s="96" t="s">
        <v>337</v>
      </c>
      <c r="H64" s="98" t="n">
        <f aca="false">Inputs!$B$20</f>
        <v>0.1</v>
      </c>
      <c r="I64" s="99" t="n">
        <f aca="false">VLOOKUP(E64,Inputs!$D$5:$E$23,2,FALSE())</f>
        <v>6</v>
      </c>
      <c r="J64" s="100" t="n">
        <f aca="false">F64*I64*(1+H64)</f>
        <v>39.6</v>
      </c>
      <c r="K64" s="101" t="n">
        <f aca="false">IF(ISNUMBER(MATCH(G64,{"tube","each","plate","vial","kit","bottle","aliquot","strainer","cap","lane-rxn","tip","strip","lane","channel","library","sample"},0)),ROUNDUP(J64,0),ROUND(J64,2))</f>
        <v>39.6</v>
      </c>
      <c r="L64" s="91" t="n">
        <f aca="false">IFERROR(IF(OR(D64="",P64="",Q64="",Q64=0),"",IF(VLOOKUP(R64,Unit_Conversions!$A$5:$C$28,3,FALSE())=VLOOKUP(G64,Unit_Conversions!$A$5:$C$28,3,FALSE()),P64*VLOOKUP(G64,Unit_Conversions!$A$5:$C$28,2,FALSE())/(Q64*VLOOKUP(R64,Unit_Conversions!$A$5:$C$28,2,FALSE())),"")),"")</f>
        <v>0.03804</v>
      </c>
      <c r="M64" s="92" t="n">
        <f aca="false">IFERROR(F64*L64,"")</f>
        <v>0.22824</v>
      </c>
      <c r="N64" s="93" t="n">
        <f aca="false">IFERROR(J64*L64,"")</f>
        <v>1.506384</v>
      </c>
      <c r="O64" s="102" t="s">
        <v>943</v>
      </c>
      <c r="P64" s="1" t="n">
        <f aca="false">IFERROR(IF(LEFT(D64,1)="K",VLOOKUP(D64,Kit_Catalog!$A:$K,8,FALSE()),VLOOKUP(D64,Additional_Supply_Catalog!$A:$K,7,FALSE())),"")</f>
        <v>19.02</v>
      </c>
      <c r="Q64" s="1" t="n">
        <f aca="false">IFERROR(IF(LEFT(D64,1)="K",VLOOKUP(D64,Kit_Catalog!$A:$K,7,FALSE()),VLOOKUP(D64,Additional_Supply_Catalog!$A:$K,8,FALSE())),"")</f>
        <v>500</v>
      </c>
      <c r="R64" s="1" t="str">
        <f aca="false">IFERROR(IF(LEFT(D64,1)="K","rxn",VLOOKUP(D64,Additional_Supply_Catalog!$A:$K,9,FALSE())),"")</f>
        <v>mL</v>
      </c>
    </row>
    <row r="65" customFormat="false" ht="15" hidden="false" customHeight="true" outlineLevel="0" collapsed="false">
      <c r="A65" s="96" t="s">
        <v>938</v>
      </c>
      <c r="B65" s="96" t="s">
        <v>901</v>
      </c>
      <c r="C65" s="96" t="s">
        <v>940</v>
      </c>
      <c r="D65" s="96"/>
      <c r="E65" s="96" t="s">
        <v>11</v>
      </c>
      <c r="F65" s="97" t="n">
        <v>250</v>
      </c>
      <c r="G65" s="96" t="s">
        <v>397</v>
      </c>
      <c r="H65" s="98" t="n">
        <f aca="false">Inputs!$B$20</f>
        <v>0.1</v>
      </c>
      <c r="I65" s="99" t="n">
        <f aca="false">VLOOKUP(E65,Inputs!$D$5:$E$23,2,FALSE())</f>
        <v>6</v>
      </c>
      <c r="J65" s="100" t="n">
        <f aca="false">F65*I65*(1+H65)</f>
        <v>1650</v>
      </c>
      <c r="K65" s="101" t="n">
        <f aca="false">IF(ISNUMBER(MATCH(G65,{"tube","each","plate","vial","kit","bottle","aliquot","strainer","cap","lane-rxn","tip","strip","lane","channel","library","sample"},0)),ROUNDUP(J65,0),ROUND(J65,2))</f>
        <v>1650</v>
      </c>
      <c r="L65" s="91" t="str">
        <f aca="false">IFERROR(IF(OR(D65="",P65="",Q65="",Q65=0),"",IF(VLOOKUP(R65,Unit_Conversions!$A$5:$C$28,3,FALSE())=VLOOKUP(G65,Unit_Conversions!$A$5:$C$28,3,FALSE()),P65*VLOOKUP(G65,Unit_Conversions!$A$5:$C$28,2,FALSE())/(Q65*VLOOKUP(R65,Unit_Conversions!$A$5:$C$28,2,FALSE())),"")),"")</f>
        <v/>
      </c>
      <c r="M65" s="92" t="str">
        <f aca="false">IFERROR(F65*L65,"")</f>
        <v/>
      </c>
      <c r="N65" s="93" t="str">
        <f aca="false">IFERROR(J65*L65,"")</f>
        <v/>
      </c>
      <c r="O65" s="102" t="s">
        <v>944</v>
      </c>
      <c r="P65" s="1" t="str">
        <f aca="false">IFERROR(IF(LEFT(D65,1)="K",VLOOKUP(D65,Kit_Catalog!$A:$K,8,FALSE()),VLOOKUP(D65,Additional_Supply_Catalog!$A:$K,7,FALSE())),"")</f>
        <v/>
      </c>
      <c r="Q65" s="1" t="str">
        <f aca="false">IFERROR(IF(LEFT(D65,1)="K",VLOOKUP(D65,Kit_Catalog!$A:$K,7,FALSE()),VLOOKUP(D65,Additional_Supply_Catalog!$A:$K,8,FALSE())),"")</f>
        <v/>
      </c>
      <c r="R65" s="1" t="str">
        <f aca="false">IFERROR(IF(LEFT(D65,1)="K","rxn",VLOOKUP(D65,Additional_Supply_Catalog!$A:$K,9,FALSE())),"")</f>
        <v/>
      </c>
    </row>
    <row r="66" customFormat="false" ht="21.75" hidden="false" customHeight="true" outlineLevel="0" collapsed="false">
      <c r="A66" s="96" t="s">
        <v>938</v>
      </c>
      <c r="B66" s="96" t="s">
        <v>901</v>
      </c>
      <c r="C66" s="96" t="s">
        <v>945</v>
      </c>
      <c r="D66" s="96" t="s">
        <v>604</v>
      </c>
      <c r="E66" s="96" t="s">
        <v>11</v>
      </c>
      <c r="F66" s="97" t="n">
        <v>0.25</v>
      </c>
      <c r="G66" s="96" t="s">
        <v>397</v>
      </c>
      <c r="H66" s="98" t="n">
        <f aca="false">Inputs!$B$20</f>
        <v>0.1</v>
      </c>
      <c r="I66" s="99" t="n">
        <f aca="false">VLOOKUP(E66,Inputs!$D$5:$E$23,2,FALSE())</f>
        <v>6</v>
      </c>
      <c r="J66" s="100" t="n">
        <f aca="false">F66*I66*(1+H66)</f>
        <v>1.65</v>
      </c>
      <c r="K66" s="101" t="n">
        <f aca="false">IF(ISNUMBER(MATCH(G66,{"tube","each","plate","vial","kit","bottle","aliquot","strainer","cap","lane-rxn","tip","strip","lane","channel","library","sample"},0)),ROUNDUP(J66,0),ROUND(J66,2))</f>
        <v>1.65</v>
      </c>
      <c r="L66" s="91" t="str">
        <f aca="false">IFERROR(IF(OR(D66="",P66="",Q66="",Q66=0),"",IF(VLOOKUP(R66,Unit_Conversions!$A$5:$C$28,3,FALSE())=VLOOKUP(G66,Unit_Conversions!$A$5:$C$28,3,FALSE()),P66*VLOOKUP(G66,Unit_Conversions!$A$5:$C$28,2,FALSE())/(Q66*VLOOKUP(R66,Unit_Conversions!$A$5:$C$28,2,FALSE())),"")),"")</f>
        <v/>
      </c>
      <c r="M66" s="92" t="str">
        <f aca="false">IFERROR(F66*L66,"")</f>
        <v/>
      </c>
      <c r="N66" s="93" t="str">
        <f aca="false">IFERROR(J66*L66,"")</f>
        <v/>
      </c>
      <c r="O66" s="102" t="s">
        <v>946</v>
      </c>
      <c r="P66" s="1" t="n">
        <f aca="false">IFERROR(IF(LEFT(D66,1)="K",VLOOKUP(D66,Kit_Catalog!$A:$K,8,FALSE()),VLOOKUP(D66,Additional_Supply_Catalog!$A:$K,7,FALSE())),"")</f>
        <v>0</v>
      </c>
      <c r="Q66" s="1" t="n">
        <f aca="false">IFERROR(IF(LEFT(D66,1)="K",VLOOKUP(D66,Kit_Catalog!$A:$K,7,FALSE()),VLOOKUP(D66,Additional_Supply_Catalog!$A:$K,8,FALSE())),"")</f>
        <v>100</v>
      </c>
      <c r="R66" s="1" t="str">
        <f aca="false">IFERROR(IF(LEFT(D66,1)="K","rxn",VLOOKUP(D66,Additional_Supply_Catalog!$A:$K,9,FALSE())),"")</f>
        <v>test</v>
      </c>
    </row>
    <row r="67" customFormat="false" ht="15" hidden="false" customHeight="true" outlineLevel="0" collapsed="false">
      <c r="A67" s="96" t="s">
        <v>938</v>
      </c>
      <c r="B67" s="96" t="s">
        <v>901</v>
      </c>
      <c r="C67" s="96" t="s">
        <v>610</v>
      </c>
      <c r="D67" s="96" t="s">
        <v>609</v>
      </c>
      <c r="E67" s="96" t="s">
        <v>20</v>
      </c>
      <c r="F67" s="97" t="n">
        <v>1</v>
      </c>
      <c r="G67" s="96" t="s">
        <v>571</v>
      </c>
      <c r="H67" s="98" t="n">
        <f aca="false">Inputs!$B$20</f>
        <v>0.1</v>
      </c>
      <c r="I67" s="99" t="n">
        <f aca="false">VLOOKUP(E67,Inputs!$D$5:$E$23,2,FALSE())</f>
        <v>1</v>
      </c>
      <c r="J67" s="100" t="n">
        <f aca="false">F67*I67*(1+H67)</f>
        <v>1.1</v>
      </c>
      <c r="K67" s="101" t="n">
        <f aca="false">IF(ISNUMBER(MATCH(G67,{"tube","each","plate","vial","kit","bottle","aliquot","strainer","cap","lane-rxn","tip","strip","lane","channel","library","sample"},0)),ROUNDUP(J67,0),ROUND(J67,2))</f>
        <v>2</v>
      </c>
      <c r="L67" s="91" t="str">
        <f aca="false">IFERROR(IF(OR(D67="",P67="",Q67="",Q67=0),"",IF(VLOOKUP(R67,Unit_Conversions!$A$5:$C$28,3,FALSE())=VLOOKUP(G67,Unit_Conversions!$A$5:$C$28,3,FALSE()),P67*VLOOKUP(G67,Unit_Conversions!$A$5:$C$28,2,FALSE())/(Q67*VLOOKUP(R67,Unit_Conversions!$A$5:$C$28,2,FALSE())),"")),"")</f>
        <v/>
      </c>
      <c r="M67" s="92" t="str">
        <f aca="false">IFERROR(F67*L67,"")</f>
        <v/>
      </c>
      <c r="N67" s="93" t="str">
        <f aca="false">IFERROR(J67*L67,"")</f>
        <v/>
      </c>
      <c r="O67" s="102" t="s">
        <v>947</v>
      </c>
      <c r="P67" s="1" t="n">
        <f aca="false">IFERROR(IF(LEFT(D67,1)="K",VLOOKUP(D67,Kit_Catalog!$A:$K,8,FALSE()),VLOOKUP(D67,Additional_Supply_Catalog!$A:$K,7,FALSE())),"")</f>
        <v>0</v>
      </c>
      <c r="Q67" s="1" t="n">
        <f aca="false">IFERROR(IF(LEFT(D67,1)="K",VLOOKUP(D67,Kit_Catalog!$A:$K,7,FALSE()),VLOOKUP(D67,Additional_Supply_Catalog!$A:$K,8,FALSE())),"")</f>
        <v>1</v>
      </c>
      <c r="R67" s="1" t="str">
        <f aca="false">IFERROR(IF(LEFT(D67,1)="K","rxn",VLOOKUP(D67,Additional_Supply_Catalog!$A:$K,9,FALSE())),"")</f>
        <v>kit</v>
      </c>
    </row>
    <row r="68" customFormat="false" ht="21.75" hidden="false" customHeight="true" outlineLevel="0" collapsed="false">
      <c r="A68" s="96" t="s">
        <v>938</v>
      </c>
      <c r="B68" s="96" t="s">
        <v>901</v>
      </c>
      <c r="C68" s="96" t="s">
        <v>948</v>
      </c>
      <c r="D68" s="96"/>
      <c r="E68" s="96" t="s">
        <v>20</v>
      </c>
      <c r="F68" s="97" t="n">
        <v>1</v>
      </c>
      <c r="G68" s="96" t="s">
        <v>571</v>
      </c>
      <c r="H68" s="98" t="n">
        <f aca="false">Inputs!$B$20</f>
        <v>0.1</v>
      </c>
      <c r="I68" s="99" t="n">
        <f aca="false">VLOOKUP(E68,Inputs!$D$5:$E$23,2,FALSE())</f>
        <v>1</v>
      </c>
      <c r="J68" s="100" t="n">
        <f aca="false">F68*I68*(1+H68)</f>
        <v>1.1</v>
      </c>
      <c r="K68" s="101" t="n">
        <f aca="false">IF(ISNUMBER(MATCH(G68,{"tube","each","plate","vial","kit","bottle","aliquot","strainer","cap","lane-rxn","tip","strip","lane","channel","library","sample"},0)),ROUNDUP(J68,0),ROUND(J68,2))</f>
        <v>2</v>
      </c>
      <c r="L68" s="91" t="str">
        <f aca="false">IFERROR(IF(OR(D68="",P68="",Q68="",Q68=0),"",IF(VLOOKUP(R68,Unit_Conversions!$A$5:$C$28,3,FALSE())=VLOOKUP(G68,Unit_Conversions!$A$5:$C$28,3,FALSE()),P68*VLOOKUP(G68,Unit_Conversions!$A$5:$C$28,2,FALSE())/(Q68*VLOOKUP(R68,Unit_Conversions!$A$5:$C$28,2,FALSE())),"")),"")</f>
        <v/>
      </c>
      <c r="M68" s="92" t="str">
        <f aca="false">IFERROR(F68*L68,"")</f>
        <v/>
      </c>
      <c r="N68" s="93" t="str">
        <f aca="false">IFERROR(J68*L68,"")</f>
        <v/>
      </c>
      <c r="O68" s="102" t="s">
        <v>949</v>
      </c>
      <c r="P68" s="1" t="str">
        <f aca="false">IFERROR(IF(LEFT(D68,1)="K",VLOOKUP(D68,Kit_Catalog!$A:$K,8,FALSE()),VLOOKUP(D68,Additional_Supply_Catalog!$A:$K,7,FALSE())),"")</f>
        <v/>
      </c>
      <c r="Q68" s="1" t="str">
        <f aca="false">IFERROR(IF(LEFT(D68,1)="K",VLOOKUP(D68,Kit_Catalog!$A:$K,7,FALSE()),VLOOKUP(D68,Additional_Supply_Catalog!$A:$K,8,FALSE())),"")</f>
        <v/>
      </c>
      <c r="R68" s="1" t="str">
        <f aca="false">IFERROR(IF(LEFT(D68,1)="K","rxn",VLOOKUP(D68,Additional_Supply_Catalog!$A:$K,9,FALSE())),"")</f>
        <v/>
      </c>
    </row>
    <row r="69" customFormat="false" ht="15" hidden="false" customHeight="true" outlineLevel="0" collapsed="false">
      <c r="A69" s="96" t="s">
        <v>938</v>
      </c>
      <c r="B69" s="96" t="s">
        <v>901</v>
      </c>
      <c r="C69" s="96" t="s">
        <v>950</v>
      </c>
      <c r="D69" s="96" t="s">
        <v>584</v>
      </c>
      <c r="E69" s="96" t="s">
        <v>20</v>
      </c>
      <c r="F69" s="97" t="n">
        <v>4</v>
      </c>
      <c r="G69" s="96" t="s">
        <v>548</v>
      </c>
      <c r="H69" s="98" t="n">
        <f aca="false">Inputs!$B$20</f>
        <v>0.1</v>
      </c>
      <c r="I69" s="99" t="n">
        <f aca="false">VLOOKUP(E69,Inputs!$D$5:$E$23,2,FALSE())</f>
        <v>1</v>
      </c>
      <c r="J69" s="100" t="n">
        <f aca="false">F69*I69*(1+H69)</f>
        <v>4.4</v>
      </c>
      <c r="K69" s="101" t="n">
        <f aca="false">IF(ISNUMBER(MATCH(G69,{"tube","each","plate","vial","kit","bottle","aliquot","strainer","cap","lane-rxn","tip","strip","lane","channel","library","sample"},0)),ROUNDUP(J69,0),ROUND(J69,2))</f>
        <v>5</v>
      </c>
      <c r="L69" s="91" t="str">
        <f aca="false">IFERROR(IF(OR(D69="",P69="",Q69="",Q69=0),"",IF(VLOOKUP(R69,Unit_Conversions!$A$5:$C$28,3,FALSE())=VLOOKUP(G69,Unit_Conversions!$A$5:$C$28,3,FALSE()),P69*VLOOKUP(G69,Unit_Conversions!$A$5:$C$28,2,FALSE())/(Q69*VLOOKUP(R69,Unit_Conversions!$A$5:$C$28,2,FALSE())),"")),"")</f>
        <v/>
      </c>
      <c r="M69" s="92" t="str">
        <f aca="false">IFERROR(F69*L69,"")</f>
        <v/>
      </c>
      <c r="N69" s="93" t="str">
        <f aca="false">IFERROR(J69*L69,"")</f>
        <v/>
      </c>
      <c r="O69" s="102" t="s">
        <v>951</v>
      </c>
      <c r="P69" s="1" t="n">
        <f aca="false">IFERROR(IF(LEFT(D69,1)="K",VLOOKUP(D69,Kit_Catalog!$A:$K,8,FALSE()),VLOOKUP(D69,Additional_Supply_Catalog!$A:$K,7,FALSE())),"")</f>
        <v>19.16</v>
      </c>
      <c r="Q69" s="1" t="n">
        <f aca="false">IFERROR(IF(LEFT(D69,1)="K",VLOOKUP(D69,Kit_Catalog!$A:$K,7,FALSE()),VLOOKUP(D69,Additional_Supply_Catalog!$A:$K,8,FALSE())),"")</f>
        <v>12</v>
      </c>
      <c r="R69" s="1" t="n">
        <f aca="false">IFERROR(IF(LEFT(D69,1)="K","rxn",VLOOKUP(D69,Additional_Supply_Catalog!$A:$K,9,FALSE())),"")</f>
        <v>0</v>
      </c>
    </row>
    <row r="70" customFormat="false" ht="21.75" hidden="false" customHeight="true" outlineLevel="0" collapsed="false">
      <c r="A70" s="96" t="s">
        <v>938</v>
      </c>
      <c r="B70" s="96" t="s">
        <v>901</v>
      </c>
      <c r="C70" s="96" t="s">
        <v>952</v>
      </c>
      <c r="D70" s="96" t="s">
        <v>625</v>
      </c>
      <c r="E70" s="96" t="s">
        <v>11</v>
      </c>
      <c r="F70" s="97" t="n">
        <v>1</v>
      </c>
      <c r="G70" s="96" t="s">
        <v>627</v>
      </c>
      <c r="H70" s="98" t="n">
        <f aca="false">Inputs!$B$20</f>
        <v>0.1</v>
      </c>
      <c r="I70" s="99" t="n">
        <f aca="false">VLOOKUP(E70,Inputs!$D$5:$E$23,2,FALSE())</f>
        <v>6</v>
      </c>
      <c r="J70" s="100" t="n">
        <f aca="false">F70*I70*(1+H70)</f>
        <v>6.6</v>
      </c>
      <c r="K70" s="101" t="n">
        <f aca="false">IF(ISNUMBER(MATCH(G70,{"tube","each","plate","vial","kit","bottle","aliquot","strainer","cap","lane-rxn","tip","strip","lane","channel","library","sample"},0)),ROUNDUP(J70,0),ROUND(J70,2))</f>
        <v>7</v>
      </c>
      <c r="L70" s="91" t="n">
        <f aca="false">IFERROR(IF(OR(D70="",P70="",Q70="",Q70=0),"",IF(VLOOKUP(R70,Unit_Conversions!$A$5:$C$28,3,FALSE())=VLOOKUP(G70,Unit_Conversions!$A$5:$C$28,3,FALSE()),P70*VLOOKUP(G70,Unit_Conversions!$A$5:$C$28,2,FALSE())/(Q70*VLOOKUP(R70,Unit_Conversions!$A$5:$C$28,2,FALSE())),"")),"")</f>
        <v>1.59666666666667</v>
      </c>
      <c r="M70" s="92" t="n">
        <f aca="false">IFERROR(F70*L70,"")</f>
        <v>1.59666666666667</v>
      </c>
      <c r="N70" s="93" t="n">
        <f aca="false">IFERROR(J70*L70,"")</f>
        <v>10.538</v>
      </c>
      <c r="O70" s="102" t="s">
        <v>953</v>
      </c>
      <c r="P70" s="1" t="n">
        <f aca="false">IFERROR(IF(LEFT(D70,1)="K",VLOOKUP(D70,Kit_Catalog!$A:$K,8,FALSE()),VLOOKUP(D70,Additional_Supply_Catalog!$A:$K,7,FALSE())),"")</f>
        <v>19.16</v>
      </c>
      <c r="Q70" s="1" t="n">
        <f aca="false">IFERROR(IF(LEFT(D70,1)="K",VLOOKUP(D70,Kit_Catalog!$A:$K,7,FALSE()),VLOOKUP(D70,Additional_Supply_Catalog!$A:$K,8,FALSE())),"")</f>
        <v>12</v>
      </c>
      <c r="R70" s="1" t="str">
        <f aca="false">IFERROR(IF(LEFT(D70,1)="K","rxn",VLOOKUP(D70,Additional_Supply_Catalog!$A:$K,9,FALSE())),"")</f>
        <v>cap</v>
      </c>
    </row>
    <row r="71" customFormat="false" ht="15" hidden="false" customHeight="true" outlineLevel="0" collapsed="false">
      <c r="A71" s="96" t="s">
        <v>954</v>
      </c>
      <c r="B71" s="96" t="s">
        <v>901</v>
      </c>
      <c r="C71" s="96" t="s">
        <v>955</v>
      </c>
      <c r="D71" s="96" t="s">
        <v>544</v>
      </c>
      <c r="E71" s="96" t="s">
        <v>9</v>
      </c>
      <c r="F71" s="97" t="n">
        <v>1</v>
      </c>
      <c r="G71" s="96" t="s">
        <v>571</v>
      </c>
      <c r="H71" s="98" t="n">
        <f aca="false">Inputs!$B$20</f>
        <v>0.1</v>
      </c>
      <c r="I71" s="99" t="n">
        <f aca="false">VLOOKUP(E71,Inputs!$D$5:$E$23,2,FALSE())</f>
        <v>54</v>
      </c>
      <c r="J71" s="100" t="n">
        <f aca="false">F71*I71*(1+H71)</f>
        <v>59.4</v>
      </c>
      <c r="K71" s="101" t="n">
        <f aca="false">IF(ISNUMBER(MATCH(G71,{"tube","each","plate","vial","kit","bottle","aliquot","strainer","cap","lane-rxn","tip","strip","lane","channel","library","sample"},0)),ROUNDUP(J71,0),ROUND(J71,2))</f>
        <v>60</v>
      </c>
      <c r="L71" s="91" t="n">
        <f aca="false">IFERROR(IF(OR(D71="",P71="",Q71="",Q71=0),"",IF(VLOOKUP(R71,Unit_Conversions!$A$5:$C$28,3,FALSE())=VLOOKUP(G71,Unit_Conversions!$A$5:$C$28,3,FALSE()),P71*VLOOKUP(G71,Unit_Conversions!$A$5:$C$28,2,FALSE())/(Q71*VLOOKUP(R71,Unit_Conversions!$A$5:$C$28,2,FALSE())),"")),"")</f>
        <v>0.17956</v>
      </c>
      <c r="M71" s="92" t="n">
        <f aca="false">IFERROR(F71*L71,"")</f>
        <v>0.17956</v>
      </c>
      <c r="N71" s="93" t="n">
        <f aca="false">IFERROR(J71*L71,"")</f>
        <v>10.665864</v>
      </c>
      <c r="O71" s="102"/>
      <c r="P71" s="1" t="n">
        <f aca="false">IFERROR(IF(LEFT(D71,1)="K",VLOOKUP(D71,Kit_Catalog!$A:$K,8,FALSE()),VLOOKUP(D71,Additional_Supply_Catalog!$A:$K,7,FALSE())),"")</f>
        <v>44.89</v>
      </c>
      <c r="Q71" s="1" t="n">
        <f aca="false">IFERROR(IF(LEFT(D71,1)="K",VLOOKUP(D71,Kit_Catalog!$A:$K,7,FALSE()),VLOOKUP(D71,Additional_Supply_Catalog!$A:$K,8,FALSE())),"")</f>
        <v>250</v>
      </c>
      <c r="R71" s="1" t="str">
        <f aca="false">IFERROR(IF(LEFT(D71,1)="K","rxn",VLOOKUP(D71,Additional_Supply_Catalog!$A:$K,9,FALSE())),"")</f>
        <v>tube</v>
      </c>
    </row>
    <row r="72" customFormat="false" ht="15" hidden="false" customHeight="true" outlineLevel="0" collapsed="false">
      <c r="A72" s="85" t="s">
        <v>954</v>
      </c>
      <c r="B72" s="85" t="s">
        <v>901</v>
      </c>
      <c r="C72" s="85" t="s">
        <v>596</v>
      </c>
      <c r="D72" s="85" t="s">
        <v>595</v>
      </c>
      <c r="E72" s="85" t="s">
        <v>9</v>
      </c>
      <c r="F72" s="86" t="n">
        <v>1</v>
      </c>
      <c r="G72" s="85" t="s">
        <v>373</v>
      </c>
      <c r="H72" s="87" t="n">
        <f aca="false">Inputs!$B$20</f>
        <v>0.1</v>
      </c>
      <c r="I72" s="88" t="n">
        <f aca="false">VLOOKUP(E72,Inputs!$D$5:$E$23,2,FALSE())</f>
        <v>54</v>
      </c>
      <c r="J72" s="89" t="n">
        <f aca="false">F72*I72*(1+H72)</f>
        <v>59.4</v>
      </c>
      <c r="K72" s="90" t="n">
        <f aca="false">IF(ISNUMBER(MATCH(G72,{"tube","each","plate","vial","kit","bottle","aliquot","strainer","cap","lane-rxn","tip","strip","lane","channel","library","sample"},0)),ROUNDUP(J72,0),ROUND(J72,2))</f>
        <v>60</v>
      </c>
      <c r="L72" s="91" t="str">
        <f aca="false">IFERROR(IF(OR(D72="",P72="",Q72="",Q72=0),"",IF(VLOOKUP(R72,Unit_Conversions!$A$5:$C$28,3,FALSE())=VLOOKUP(G72,Unit_Conversions!$A$5:$C$28,3,FALSE()),P72*VLOOKUP(G72,Unit_Conversions!$A$5:$C$28,2,FALSE())/(Q72*VLOOKUP(R72,Unit_Conversions!$A$5:$C$28,2,FALSE())),"")),"")</f>
        <v/>
      </c>
      <c r="M72" s="92" t="str">
        <f aca="false">IFERROR(F72*L72,"")</f>
        <v/>
      </c>
      <c r="N72" s="93" t="str">
        <f aca="false">IFERROR(J72*L72,"")</f>
        <v/>
      </c>
      <c r="O72" s="94" t="s">
        <v>903</v>
      </c>
      <c r="P72" s="1" t="n">
        <f aca="false">IFERROR(IF(LEFT(D72,1)="K",VLOOKUP(D72,Kit_Catalog!$A:$K,8,FALSE()),VLOOKUP(D72,Additional_Supply_Catalog!$A:$K,7,FALSE())),"")</f>
        <v>0</v>
      </c>
      <c r="Q72" s="1" t="n">
        <f aca="false">IFERROR(IF(LEFT(D72,1)="K",VLOOKUP(D72,Kit_Catalog!$A:$K,7,FALSE()),VLOOKUP(D72,Additional_Supply_Catalog!$A:$K,8,FALSE())),"")</f>
        <v>1</v>
      </c>
      <c r="R72" s="1" t="str">
        <f aca="false">IFERROR(IF(LEFT(D72,1)="K","rxn",VLOOKUP(D72,Additional_Supply_Catalog!$A:$K,9,FALSE())),"")</f>
        <v>sample</v>
      </c>
    </row>
    <row r="73" customFormat="false" ht="15" hidden="false" customHeight="true" outlineLevel="0" collapsed="false">
      <c r="A73" s="85" t="s">
        <v>954</v>
      </c>
      <c r="B73" s="85" t="s">
        <v>901</v>
      </c>
      <c r="C73" s="85" t="s">
        <v>956</v>
      </c>
      <c r="D73" s="85" t="s">
        <v>510</v>
      </c>
      <c r="E73" s="85" t="s">
        <v>9</v>
      </c>
      <c r="F73" s="86" t="n">
        <v>0.6</v>
      </c>
      <c r="G73" s="85" t="s">
        <v>337</v>
      </c>
      <c r="H73" s="87" t="n">
        <f aca="false">Inputs!$B$20</f>
        <v>0.1</v>
      </c>
      <c r="I73" s="88" t="n">
        <f aca="false">VLOOKUP(E73,Inputs!$D$5:$E$23,2,FALSE())</f>
        <v>54</v>
      </c>
      <c r="J73" s="89" t="n">
        <f aca="false">F73*I73*(1+H73)</f>
        <v>35.64</v>
      </c>
      <c r="K73" s="90" t="n">
        <f aca="false">IF(ISNUMBER(MATCH(G73,{"tube","each","plate","vial","kit","bottle","aliquot","strainer","cap","lane-rxn","tip","strip","lane","channel","library","sample"},0)),ROUNDUP(J73,0),ROUND(J73,2))</f>
        <v>35.64</v>
      </c>
      <c r="L73" s="91" t="n">
        <f aca="false">IFERROR(IF(OR(D73="",P73="",Q73="",Q73=0),"",IF(VLOOKUP(R73,Unit_Conversions!$A$5:$C$28,3,FALSE())=VLOOKUP(G73,Unit_Conversions!$A$5:$C$28,3,FALSE()),P73*VLOOKUP(G73,Unit_Conversions!$A$5:$C$28,2,FALSE())/(Q73*VLOOKUP(R73,Unit_Conversions!$A$5:$C$28,2,FALSE())),"")),"")</f>
        <v>2.6334</v>
      </c>
      <c r="M73" s="92" t="n">
        <f aca="false">IFERROR(F73*L73,"")</f>
        <v>1.58004</v>
      </c>
      <c r="N73" s="93" t="n">
        <f aca="false">IFERROR(J73*L73,"")</f>
        <v>93.854376</v>
      </c>
      <c r="O73" s="94"/>
      <c r="P73" s="1" t="n">
        <f aca="false">IFERROR(IF(LEFT(D73,1)="K",VLOOKUP(D73,Kit_Catalog!$A:$K,8,FALSE()),VLOOKUP(D73,Additional_Supply_Catalog!$A:$K,7,FALSE())),"")</f>
        <v>263.34</v>
      </c>
      <c r="Q73" s="1" t="n">
        <f aca="false">IFERROR(IF(LEFT(D73,1)="K",VLOOKUP(D73,Kit_Catalog!$A:$K,7,FALSE()),VLOOKUP(D73,Additional_Supply_Catalog!$A:$K,8,FALSE())),"")</f>
        <v>100</v>
      </c>
      <c r="R73" s="1" t="str">
        <f aca="false">IFERROR(IF(LEFT(D73,1)="K","rxn",VLOOKUP(D73,Additional_Supply_Catalog!$A:$K,9,FALSE())),"")</f>
        <v>mL</v>
      </c>
    </row>
    <row r="74" customFormat="false" ht="15" hidden="false" customHeight="true" outlineLevel="0" collapsed="false">
      <c r="A74" s="85" t="s">
        <v>957</v>
      </c>
      <c r="B74" s="85" t="s">
        <v>896</v>
      </c>
      <c r="C74" s="85" t="s">
        <v>958</v>
      </c>
      <c r="D74" s="85"/>
      <c r="E74" s="85" t="s">
        <v>898</v>
      </c>
      <c r="F74" s="86"/>
      <c r="G74" s="85" t="s">
        <v>337</v>
      </c>
      <c r="H74" s="87"/>
      <c r="I74" s="88"/>
      <c r="J74" s="89" t="n">
        <f aca="false">(0.55*Inputs!$B$21)*(1+Inputs!$B$20)</f>
        <v>0</v>
      </c>
      <c r="K74" s="90"/>
      <c r="L74" s="91"/>
      <c r="M74" s="92"/>
      <c r="N74" s="93"/>
      <c r="O74" s="94" t="s">
        <v>959</v>
      </c>
    </row>
    <row r="75" customFormat="false" ht="42.75" hidden="false" customHeight="true" outlineLevel="0" collapsed="false">
      <c r="A75" s="85" t="s">
        <v>957</v>
      </c>
      <c r="B75" s="85" t="s">
        <v>896</v>
      </c>
      <c r="C75" s="85" t="s">
        <v>960</v>
      </c>
      <c r="D75" s="85"/>
      <c r="E75" s="85" t="s">
        <v>898</v>
      </c>
      <c r="F75" s="88"/>
      <c r="G75" s="85" t="s">
        <v>337</v>
      </c>
      <c r="H75" s="85"/>
      <c r="I75" s="88"/>
      <c r="J75" s="88" t="n">
        <f aca="false">(1.072*Inputs!$B$21)*(1+Inputs!$B$20)</f>
        <v>0</v>
      </c>
      <c r="K75" s="104"/>
      <c r="L75" s="105"/>
      <c r="M75" s="105"/>
      <c r="N75" s="106"/>
      <c r="O75" s="94" t="s">
        <v>961</v>
      </c>
    </row>
    <row r="76" customFormat="false" ht="32.25" hidden="false" customHeight="true" outlineLevel="0" collapsed="false">
      <c r="A76" s="85" t="s">
        <v>957</v>
      </c>
      <c r="B76" s="85" t="s">
        <v>896</v>
      </c>
      <c r="C76" s="85" t="s">
        <v>962</v>
      </c>
      <c r="D76" s="85"/>
      <c r="E76" s="85" t="s">
        <v>898</v>
      </c>
      <c r="F76" s="88"/>
      <c r="G76" s="85" t="s">
        <v>337</v>
      </c>
      <c r="H76" s="85"/>
      <c r="I76" s="88"/>
      <c r="J76" s="88" t="n">
        <f aca="false">(0.055*Inputs!$B$21)*(1+Inputs!$B$20)</f>
        <v>0</v>
      </c>
      <c r="K76" s="104"/>
      <c r="L76" s="105"/>
      <c r="M76" s="105"/>
      <c r="N76" s="106"/>
      <c r="O76" s="94" t="s">
        <v>963</v>
      </c>
    </row>
    <row r="77" customFormat="false" ht="32.25" hidden="false" customHeight="true" outlineLevel="0" collapsed="false">
      <c r="A77" s="85" t="s">
        <v>957</v>
      </c>
      <c r="B77" s="85" t="s">
        <v>896</v>
      </c>
      <c r="C77" s="85" t="s">
        <v>964</v>
      </c>
      <c r="D77" s="85"/>
      <c r="E77" s="85" t="s">
        <v>898</v>
      </c>
      <c r="F77" s="88"/>
      <c r="G77" s="85" t="s">
        <v>337</v>
      </c>
      <c r="H77" s="85"/>
      <c r="I77" s="88"/>
      <c r="J77" s="88" t="n">
        <f aca="false">(0.495*Inputs!$B$21)*(1+Inputs!$B$20)</f>
        <v>0</v>
      </c>
      <c r="K77" s="104"/>
      <c r="L77" s="105"/>
      <c r="M77" s="105"/>
      <c r="N77" s="106"/>
      <c r="O77" s="94" t="s">
        <v>965</v>
      </c>
    </row>
    <row r="78" customFormat="false" ht="32.25" hidden="false" customHeight="true" outlineLevel="0" collapsed="false">
      <c r="A78" s="85" t="s">
        <v>957</v>
      </c>
      <c r="B78" s="85" t="s">
        <v>896</v>
      </c>
      <c r="C78" s="85" t="s">
        <v>966</v>
      </c>
      <c r="D78" s="85"/>
      <c r="E78" s="85" t="s">
        <v>898</v>
      </c>
      <c r="F78" s="88"/>
      <c r="G78" s="85" t="s">
        <v>337</v>
      </c>
      <c r="H78" s="85"/>
      <c r="I78" s="88"/>
      <c r="J78" s="88" t="n">
        <f aca="false">(0.0333*Inputs!$B$22)*(1+Inputs!$B$20)</f>
        <v>0</v>
      </c>
      <c r="K78" s="104"/>
      <c r="L78" s="105"/>
      <c r="M78" s="105"/>
      <c r="N78" s="106"/>
      <c r="O78" s="94" t="s">
        <v>967</v>
      </c>
    </row>
    <row r="79" customFormat="false" ht="32.25" hidden="false" customHeight="true" outlineLevel="0" collapsed="false">
      <c r="A79" s="85" t="s">
        <v>957</v>
      </c>
      <c r="B79" s="85" t="s">
        <v>901</v>
      </c>
      <c r="C79" s="85" t="s">
        <v>311</v>
      </c>
      <c r="D79" s="85" t="s">
        <v>310</v>
      </c>
      <c r="E79" s="85" t="s">
        <v>36</v>
      </c>
      <c r="F79" s="88" t="n">
        <v>1</v>
      </c>
      <c r="G79" s="85" t="s">
        <v>373</v>
      </c>
      <c r="H79" s="87" t="n">
        <f aca="false">Inputs!$B$20</f>
        <v>0.1</v>
      </c>
      <c r="I79" s="88" t="n">
        <f aca="false">VLOOKUP(E79,Inputs!$D$5:$E$23,2,FALSE())</f>
        <v>0</v>
      </c>
      <c r="J79" s="88" t="n">
        <f aca="false">F79*I79*(1+H79)</f>
        <v>0</v>
      </c>
      <c r="K79" s="104" t="n">
        <f aca="false">IF(ISNUMBER(MATCH(G79,{"tube","each","plate","vial","kit","bottle","aliquot","strainer","cap","lane-rxn","tip","strip","lane","channel","library","sample"},0)),ROUNDUP(J79,0),ROUND(J79,2))</f>
        <v>0</v>
      </c>
      <c r="L79" s="105" t="n">
        <f aca="false">IFERROR(IF(OR(D79="",P79="",Q79="",Q79=0),"",IF(VLOOKUP(R79,Unit_Conversions!$A$5:$C$28,3,FALSE())=VLOOKUP(G79,Unit_Conversions!$A$5:$C$28,3,FALSE()),P79*VLOOKUP(G79,Unit_Conversions!$A$5:$C$28,2,FALSE())/(Q79*VLOOKUP(R79,Unit_Conversions!$A$5:$C$28,2,FALSE())),"")),"")</f>
        <v>16.6666666666667</v>
      </c>
      <c r="M79" s="105" t="n">
        <f aca="false">IFERROR(F79*L79,"")</f>
        <v>16.6666666666667</v>
      </c>
      <c r="N79" s="106" t="n">
        <f aca="false">IFERROR(J79*L79,"")</f>
        <v>0</v>
      </c>
      <c r="O79" s="94" t="s">
        <v>968</v>
      </c>
      <c r="P79" s="1" t="n">
        <f aca="false">IFERROR(IF(LEFT(D79,1)="K",VLOOKUP(D79,Kit_Catalog!$A:$K,8,FALSE()),VLOOKUP(D79,Additional_Supply_Catalog!$A:$K,7,FALSE())),"")</f>
        <v>800</v>
      </c>
      <c r="Q79" s="1" t="n">
        <f aca="false">IFERROR(IF(LEFT(D79,1)="K",VLOOKUP(D79,Kit_Catalog!$A:$K,7,FALSE()),VLOOKUP(D79,Additional_Supply_Catalog!$A:$K,8,FALSE())),"")</f>
        <v>48</v>
      </c>
      <c r="R79" s="1" t="str">
        <f aca="false">IFERROR(IF(LEFT(D79,1)="K","rxn",VLOOKUP(D79,Additional_Supply_Catalog!$A:$K,9,FALSE())),"")</f>
        <v>rxn</v>
      </c>
    </row>
    <row r="80" customFormat="false" ht="21.75" hidden="false" customHeight="true" outlineLevel="0" collapsed="false">
      <c r="A80" s="85" t="s">
        <v>957</v>
      </c>
      <c r="B80" s="85" t="s">
        <v>901</v>
      </c>
      <c r="C80" s="85" t="s">
        <v>969</v>
      </c>
      <c r="D80" s="85" t="s">
        <v>288</v>
      </c>
      <c r="E80" s="85" t="s">
        <v>36</v>
      </c>
      <c r="F80" s="88" t="n">
        <v>1</v>
      </c>
      <c r="G80" s="85" t="s">
        <v>373</v>
      </c>
      <c r="H80" s="87" t="n">
        <f aca="false">Inputs!$B$20</f>
        <v>0.1</v>
      </c>
      <c r="I80" s="88" t="n">
        <f aca="false">VLOOKUP(E80,Inputs!$D$5:$E$23,2,FALSE())</f>
        <v>0</v>
      </c>
      <c r="J80" s="88" t="n">
        <f aca="false">F80*I80*(1+H80)</f>
        <v>0</v>
      </c>
      <c r="K80" s="104" t="n">
        <f aca="false">IF(ISNUMBER(MATCH(G80,{"tube","each","plate","vial","kit","bottle","aliquot","strainer","cap","lane-rxn","tip","strip","lane","channel","library","sample"},0)),ROUNDUP(J80,0),ROUND(J80,2))</f>
        <v>0</v>
      </c>
      <c r="L80" s="105" t="n">
        <f aca="false">IFERROR(IF(OR(D80="",P80="",Q80="",Q80=0),"",IF(VLOOKUP(R80,Unit_Conversions!$A$5:$C$28,3,FALSE())=VLOOKUP(G80,Unit_Conversions!$A$5:$C$28,3,FALSE()),P80*VLOOKUP(G80,Unit_Conversions!$A$5:$C$28,2,FALSE())/(Q80*VLOOKUP(R80,Unit_Conversions!$A$5:$C$28,2,FALSE())),"")),"")</f>
        <v>637.5</v>
      </c>
      <c r="M80" s="105" t="n">
        <f aca="false">IFERROR(F80*L80,"")</f>
        <v>637.5</v>
      </c>
      <c r="N80" s="106" t="n">
        <f aca="false">IFERROR(J80*L80,"")</f>
        <v>0</v>
      </c>
      <c r="O80" s="94" t="s">
        <v>970</v>
      </c>
      <c r="P80" s="1" t="n">
        <f aca="false">IFERROR(IF(LEFT(D80,1)="K",VLOOKUP(D80,Kit_Catalog!$A:$K,8,FALSE()),VLOOKUP(D80,Additional_Supply_Catalog!$A:$K,7,FALSE())),"")</f>
        <v>10200</v>
      </c>
      <c r="Q80" s="1" t="n">
        <f aca="false">IFERROR(IF(LEFT(D80,1)="K",VLOOKUP(D80,Kit_Catalog!$A:$K,7,FALSE()),VLOOKUP(D80,Additional_Supply_Catalog!$A:$K,8,FALSE())),"")</f>
        <v>16</v>
      </c>
      <c r="R80" s="1" t="str">
        <f aca="false">IFERROR(IF(LEFT(D80,1)="K","rxn",VLOOKUP(D80,Additional_Supply_Catalog!$A:$K,9,FALSE())),"")</f>
        <v>rxn</v>
      </c>
    </row>
    <row r="81" customFormat="false" ht="32.25" hidden="false" customHeight="true" outlineLevel="0" collapsed="false">
      <c r="A81" s="85" t="s">
        <v>957</v>
      </c>
      <c r="B81" s="85" t="s">
        <v>901</v>
      </c>
      <c r="C81" s="85" t="s">
        <v>298</v>
      </c>
      <c r="D81" s="85" t="s">
        <v>297</v>
      </c>
      <c r="E81" s="85" t="s">
        <v>37</v>
      </c>
      <c r="F81" s="88" t="n">
        <v>1</v>
      </c>
      <c r="G81" s="85" t="s">
        <v>971</v>
      </c>
      <c r="H81" s="87" t="n">
        <f aca="false">Inputs!$B$20</f>
        <v>0.1</v>
      </c>
      <c r="I81" s="88" t="n">
        <f aca="false">VLOOKUP(E81,Inputs!$D$5:$E$23,2,FALSE())</f>
        <v>0</v>
      </c>
      <c r="J81" s="88" t="n">
        <f aca="false">F81*I81*(1+H81)</f>
        <v>0</v>
      </c>
      <c r="K81" s="104" t="n">
        <f aca="false">IF(ISNUMBER(MATCH(G81,{"tube","each","plate","vial","kit","bottle","aliquot","strainer","cap","lane-rxn","tip","strip","lane","channel","library","sample"},0)),ROUNDUP(J81,0),ROUND(J81,2))</f>
        <v>0</v>
      </c>
      <c r="L81" s="105" t="n">
        <f aca="false">IFERROR(IF(OR(D81="",P81="",Q81="",Q81=0),"",IF(VLOOKUP(R81,Unit_Conversions!$A$5:$C$28,3,FALSE())=VLOOKUP(G81,Unit_Conversions!$A$5:$C$28,3,FALSE()),P81*VLOOKUP(G81,Unit_Conversions!$A$5:$C$28,2,FALSE())/(Q81*VLOOKUP(R81,Unit_Conversions!$A$5:$C$28,2,FALSE())),"")),"")</f>
        <v>78.125</v>
      </c>
      <c r="M81" s="105" t="n">
        <f aca="false">IFERROR(F81*L81,"")</f>
        <v>78.125</v>
      </c>
      <c r="N81" s="106" t="n">
        <f aca="false">IFERROR(J81*L81,"")</f>
        <v>0</v>
      </c>
      <c r="O81" s="94" t="s">
        <v>972</v>
      </c>
      <c r="P81" s="1" t="n">
        <f aca="false">IFERROR(IF(LEFT(D81,1)="K",VLOOKUP(D81,Kit_Catalog!$A:$K,8,FALSE()),VLOOKUP(D81,Additional_Supply_Catalog!$A:$K,7,FALSE())),"")</f>
        <v>1250</v>
      </c>
      <c r="Q81" s="1" t="n">
        <f aca="false">IFERROR(IF(LEFT(D81,1)="K",VLOOKUP(D81,Kit_Catalog!$A:$K,7,FALSE()),VLOOKUP(D81,Additional_Supply_Catalog!$A:$K,8,FALSE())),"")</f>
        <v>16</v>
      </c>
      <c r="R81" s="1" t="str">
        <f aca="false">IFERROR(IF(LEFT(D81,1)="K","rxn",VLOOKUP(D81,Additional_Supply_Catalog!$A:$K,9,FALSE())),"")</f>
        <v>rxn</v>
      </c>
    </row>
    <row r="82" customFormat="false" ht="21.75" hidden="false" customHeight="true" outlineLevel="0" collapsed="false">
      <c r="A82" s="85" t="s">
        <v>957</v>
      </c>
      <c r="B82" s="85" t="s">
        <v>901</v>
      </c>
      <c r="C82" s="85" t="s">
        <v>316</v>
      </c>
      <c r="D82" s="85" t="s">
        <v>315</v>
      </c>
      <c r="E82" s="85" t="s">
        <v>37</v>
      </c>
      <c r="F82" s="88" t="n">
        <v>1</v>
      </c>
      <c r="G82" s="85" t="s">
        <v>971</v>
      </c>
      <c r="H82" s="87" t="n">
        <f aca="false">Inputs!$B$20</f>
        <v>0.1</v>
      </c>
      <c r="I82" s="88" t="n">
        <f aca="false">VLOOKUP(E82,Inputs!$D$5:$E$23,2,FALSE())</f>
        <v>0</v>
      </c>
      <c r="J82" s="88" t="n">
        <f aca="false">F82*I82*(1+H82)</f>
        <v>0</v>
      </c>
      <c r="K82" s="104" t="n">
        <f aca="false">IF(ISNUMBER(MATCH(G82,{"tube","each","plate","vial","kit","bottle","aliquot","strainer","cap","lane-rxn","tip","strip","lane","channel","library","sample"},0)),ROUNDUP(J82,0),ROUND(J82,2))</f>
        <v>0</v>
      </c>
      <c r="L82" s="105" t="str">
        <f aca="false">IFERROR(IF(OR(D82="",P82="",Q82="",Q82=0),"",IF(VLOOKUP(R82,Unit_Conversions!$A$5:$C$28,3,FALSE())=VLOOKUP(G82,Unit_Conversions!$A$5:$C$28,3,FALSE()),P82*VLOOKUP(G82,Unit_Conversions!$A$5:$C$28,2,FALSE())/(Q82*VLOOKUP(R82,Unit_Conversions!$A$5:$C$28,2,FALSE())),"")),"")</f>
        <v/>
      </c>
      <c r="M82" s="105" t="str">
        <f aca="false">IFERROR(F82*L82,"")</f>
        <v/>
      </c>
      <c r="N82" s="106" t="str">
        <f aca="false">IFERROR(J82*L82,"")</f>
        <v/>
      </c>
      <c r="O82" s="94" t="s">
        <v>973</v>
      </c>
      <c r="P82" s="1" t="n">
        <f aca="false">IFERROR(IF(LEFT(D82,1)="K",VLOOKUP(D82,Kit_Catalog!$A:$K,8,FALSE()),VLOOKUP(D82,Additional_Supply_Catalog!$A:$K,7,FALSE())),"")</f>
        <v>0</v>
      </c>
      <c r="Q82" s="1" t="n">
        <f aca="false">IFERROR(IF(LEFT(D82,1)="K",VLOOKUP(D82,Kit_Catalog!$A:$K,7,FALSE()),VLOOKUP(D82,Additional_Supply_Catalog!$A:$K,8,FALSE())),"")</f>
        <v>4</v>
      </c>
      <c r="R82" s="1" t="str">
        <f aca="false">IFERROR(IF(LEFT(D82,1)="K","rxn",VLOOKUP(D82,Additional_Supply_Catalog!$A:$K,9,FALSE())),"")</f>
        <v>rxn</v>
      </c>
    </row>
    <row r="83" customFormat="false" ht="32.25" hidden="false" customHeight="true" outlineLevel="0" collapsed="false">
      <c r="A83" s="85" t="s">
        <v>957</v>
      </c>
      <c r="B83" s="85" t="s">
        <v>901</v>
      </c>
      <c r="C83" s="85" t="s">
        <v>974</v>
      </c>
      <c r="D83" s="85" t="s">
        <v>517</v>
      </c>
      <c r="E83" s="85" t="s">
        <v>36</v>
      </c>
      <c r="F83" s="88" t="n">
        <v>60</v>
      </c>
      <c r="G83" s="85" t="s">
        <v>397</v>
      </c>
      <c r="H83" s="87" t="n">
        <f aca="false">Inputs!$B$20</f>
        <v>0.1</v>
      </c>
      <c r="I83" s="88" t="n">
        <f aca="false">VLOOKUP(E83,Inputs!$D$5:$E$23,2,FALSE())</f>
        <v>0</v>
      </c>
      <c r="J83" s="88" t="n">
        <f aca="false">F83*I83*(1+H83)</f>
        <v>0</v>
      </c>
      <c r="K83" s="104" t="n">
        <f aca="false">IF(ISNUMBER(MATCH(G83,{"tube","each","plate","vial","kit","bottle","aliquot","strainer","cap","lane-rxn","tip","strip","lane","channel","library","sample"},0)),ROUNDUP(J83,0),ROUND(J83,2))</f>
        <v>0</v>
      </c>
      <c r="L83" s="105" t="n">
        <f aca="false">IFERROR(IF(OR(D83="",P83="",Q83="",Q83=0),"",IF(VLOOKUP(R83,Unit_Conversions!$A$5:$C$28,3,FALSE())=VLOOKUP(G83,Unit_Conversions!$A$5:$C$28,3,FALSE()),P83*VLOOKUP(G83,Unit_Conversions!$A$5:$C$28,2,FALSE())/(Q83*VLOOKUP(R83,Unit_Conversions!$A$5:$C$28,2,FALSE())),"")),"")</f>
        <v>0.00405</v>
      </c>
      <c r="M83" s="105" t="n">
        <f aca="false">IFERROR(F83*L83,"")</f>
        <v>0.243</v>
      </c>
      <c r="N83" s="106" t="n">
        <f aca="false">IFERROR(J83*L83,"")</f>
        <v>0</v>
      </c>
      <c r="O83" s="94" t="s">
        <v>975</v>
      </c>
      <c r="P83" s="1" t="n">
        <f aca="false">IFERROR(IF(LEFT(D83,1)="K",VLOOKUP(D83,Kit_Catalog!$A:$K,8,FALSE()),VLOOKUP(D83,Additional_Supply_Catalog!$A:$K,7,FALSE())),"")</f>
        <v>101.25</v>
      </c>
      <c r="Q83" s="1" t="n">
        <f aca="false">IFERROR(IF(LEFT(D83,1)="K",VLOOKUP(D83,Kit_Catalog!$A:$K,7,FALSE()),VLOOKUP(D83,Additional_Supply_Catalog!$A:$K,8,FALSE())),"")</f>
        <v>25</v>
      </c>
      <c r="R83" s="1" t="str">
        <f aca="false">IFERROR(IF(LEFT(D83,1)="K","rxn",VLOOKUP(D83,Additional_Supply_Catalog!$A:$K,9,FALSE())),"")</f>
        <v>mL</v>
      </c>
    </row>
    <row r="84" customFormat="false" ht="14.25" hidden="false" customHeight="true" outlineLevel="0" collapsed="false">
      <c r="A84" s="85" t="s">
        <v>957</v>
      </c>
      <c r="B84" s="85" t="s">
        <v>901</v>
      </c>
      <c r="C84" s="85" t="s">
        <v>976</v>
      </c>
      <c r="D84" s="85" t="s">
        <v>333</v>
      </c>
      <c r="E84" s="85" t="s">
        <v>36</v>
      </c>
      <c r="F84" s="88" t="n">
        <v>1.5</v>
      </c>
      <c r="G84" s="85" t="s">
        <v>337</v>
      </c>
      <c r="H84" s="87" t="n">
        <f aca="false">Inputs!$B$20</f>
        <v>0.1</v>
      </c>
      <c r="I84" s="88" t="n">
        <f aca="false">VLOOKUP(E84,Inputs!$D$5:$E$23,2,FALSE())</f>
        <v>0</v>
      </c>
      <c r="J84" s="88" t="n">
        <f aca="false">F84*I84*(1+H84)</f>
        <v>0</v>
      </c>
      <c r="K84" s="104" t="n">
        <f aca="false">IF(ISNUMBER(MATCH(G84,{"tube","each","plate","vial","kit","bottle","aliquot","strainer","cap","lane-rxn","tip","strip","lane","channel","library","sample"},0)),ROUNDUP(J84,0),ROUND(J84,2))</f>
        <v>0</v>
      </c>
      <c r="L84" s="105" t="n">
        <f aca="false">IFERROR(IF(OR(D84="",P84="",Q84="",Q84=0),"",IF(VLOOKUP(R84,Unit_Conversions!$A$5:$C$28,3,FALSE())=VLOOKUP(G84,Unit_Conversions!$A$5:$C$28,3,FALSE()),P84*VLOOKUP(G84,Unit_Conversions!$A$5:$C$28,2,FALSE())/(Q84*VLOOKUP(R84,Unit_Conversions!$A$5:$C$28,2,FALSE())),"")),"")</f>
        <v>0.02772</v>
      </c>
      <c r="M84" s="105" t="n">
        <f aca="false">IFERROR(F84*L84,"")</f>
        <v>0.04158</v>
      </c>
      <c r="N84" s="106" t="n">
        <f aca="false">IFERROR(J84*L84,"")</f>
        <v>0</v>
      </c>
      <c r="O84" s="94" t="s">
        <v>977</v>
      </c>
      <c r="P84" s="1" t="n">
        <f aca="false">IFERROR(IF(LEFT(D84,1)="K",VLOOKUP(D84,Kit_Catalog!$A:$K,8,FALSE()),VLOOKUP(D84,Additional_Supply_Catalog!$A:$K,7,FALSE())),"")</f>
        <v>13.86</v>
      </c>
      <c r="Q84" s="1" t="n">
        <f aca="false">IFERROR(IF(LEFT(D84,1)="K",VLOOKUP(D84,Kit_Catalog!$A:$K,7,FALSE()),VLOOKUP(D84,Additional_Supply_Catalog!$A:$K,8,FALSE())),"")</f>
        <v>500</v>
      </c>
      <c r="R84" s="1" t="str">
        <f aca="false">IFERROR(IF(LEFT(D84,1)="K","rxn",VLOOKUP(D84,Additional_Supply_Catalog!$A:$K,9,FALSE())),"")</f>
        <v>mL</v>
      </c>
    </row>
    <row r="85" customFormat="false" ht="14.25" hidden="false" customHeight="true" outlineLevel="0" collapsed="false">
      <c r="A85" s="85" t="s">
        <v>957</v>
      </c>
      <c r="B85" s="85" t="s">
        <v>901</v>
      </c>
      <c r="C85" s="85" t="s">
        <v>978</v>
      </c>
      <c r="D85" s="85" t="s">
        <v>523</v>
      </c>
      <c r="E85" s="85" t="s">
        <v>37</v>
      </c>
      <c r="F85" s="88" t="n">
        <v>0.5</v>
      </c>
      <c r="G85" s="85" t="s">
        <v>337</v>
      </c>
      <c r="H85" s="87" t="n">
        <f aca="false">Inputs!$B$20</f>
        <v>0.1</v>
      </c>
      <c r="I85" s="88" t="n">
        <f aca="false">VLOOKUP(E85,Inputs!$D$5:$E$23,2,FALSE())</f>
        <v>0</v>
      </c>
      <c r="J85" s="88" t="n">
        <f aca="false">F85*I85*(1+H85)</f>
        <v>0</v>
      </c>
      <c r="K85" s="104" t="n">
        <f aca="false">IF(ISNUMBER(MATCH(G85,{"tube","each","plate","vial","kit","bottle","aliquot","strainer","cap","lane-rxn","tip","strip","lane","channel","library","sample"},0)),ROUNDUP(J85,0),ROUND(J85,2))</f>
        <v>0</v>
      </c>
      <c r="L85" s="105" t="n">
        <f aca="false">IFERROR(IF(OR(D85="",P85="",Q85="",Q85=0),"",IF(VLOOKUP(R85,Unit_Conversions!$A$5:$C$28,3,FALSE())=VLOOKUP(G85,Unit_Conversions!$A$5:$C$28,3,FALSE()),P85*VLOOKUP(G85,Unit_Conversions!$A$5:$C$28,2,FALSE())/(Q85*VLOOKUP(R85,Unit_Conversions!$A$5:$C$28,2,FALSE())),"")),"")</f>
        <v>0.6279</v>
      </c>
      <c r="M85" s="105" t="n">
        <f aca="false">IFERROR(F85*L85,"")</f>
        <v>0.31395</v>
      </c>
      <c r="N85" s="106" t="n">
        <f aca="false">IFERROR(J85*L85,"")</f>
        <v>0</v>
      </c>
      <c r="O85" s="94" t="s">
        <v>979</v>
      </c>
      <c r="P85" s="1" t="n">
        <f aca="false">IFERROR(IF(LEFT(D85,1)="K",VLOOKUP(D85,Kit_Catalog!$A:$K,8,FALSE()),VLOOKUP(D85,Additional_Supply_Catalog!$A:$K,7,FALSE())),"")</f>
        <v>62.79</v>
      </c>
      <c r="Q85" s="1" t="n">
        <f aca="false">IFERROR(IF(LEFT(D85,1)="K",VLOOKUP(D85,Kit_Catalog!$A:$K,7,FALSE()),VLOOKUP(D85,Additional_Supply_Catalog!$A:$K,8,FALSE())),"")</f>
        <v>100</v>
      </c>
      <c r="R85" s="1" t="str">
        <f aca="false">IFERROR(IF(LEFT(D85,1)="K","rxn",VLOOKUP(D85,Additional_Supply_Catalog!$A:$K,9,FALSE())),"")</f>
        <v>mL</v>
      </c>
    </row>
    <row r="86" customFormat="false" ht="14.25" hidden="false" customHeight="true" outlineLevel="0" collapsed="false">
      <c r="A86" s="85" t="s">
        <v>957</v>
      </c>
      <c r="B86" s="85" t="s">
        <v>901</v>
      </c>
      <c r="C86" s="85" t="s">
        <v>545</v>
      </c>
      <c r="D86" s="85" t="s">
        <v>544</v>
      </c>
      <c r="E86" s="85" t="s">
        <v>36</v>
      </c>
      <c r="F86" s="88" t="n">
        <v>1</v>
      </c>
      <c r="G86" s="85" t="s">
        <v>548</v>
      </c>
      <c r="H86" s="87" t="n">
        <f aca="false">Inputs!$B$20</f>
        <v>0.1</v>
      </c>
      <c r="I86" s="88" t="n">
        <f aca="false">VLOOKUP(E86,Inputs!$D$5:$E$23,2,FALSE())</f>
        <v>0</v>
      </c>
      <c r="J86" s="88" t="n">
        <f aca="false">F86*I86*(1+H86)</f>
        <v>0</v>
      </c>
      <c r="K86" s="104" t="n">
        <f aca="false">IF(ISNUMBER(MATCH(G86,{"tube","each","plate","vial","kit","bottle","aliquot","strainer","cap","lane-rxn","tip","strip","lane","channel","library","sample"},0)),ROUNDUP(J86,0),ROUND(J86,2))</f>
        <v>0</v>
      </c>
      <c r="L86" s="105" t="n">
        <f aca="false">IFERROR(IF(OR(D86="",P86="",Q86="",Q86=0),"",IF(VLOOKUP(R86,Unit_Conversions!$A$5:$C$28,3,FALSE())=VLOOKUP(G86,Unit_Conversions!$A$5:$C$28,3,FALSE()),P86*VLOOKUP(G86,Unit_Conversions!$A$5:$C$28,2,FALSE())/(Q86*VLOOKUP(R86,Unit_Conversions!$A$5:$C$28,2,FALSE())),"")),"")</f>
        <v>0.17956</v>
      </c>
      <c r="M86" s="105" t="n">
        <f aca="false">IFERROR(F86*L86,"")</f>
        <v>0.17956</v>
      </c>
      <c r="N86" s="106" t="n">
        <f aca="false">IFERROR(J86*L86,"")</f>
        <v>0</v>
      </c>
      <c r="O86" s="94" t="s">
        <v>980</v>
      </c>
      <c r="P86" s="1" t="n">
        <f aca="false">IFERROR(IF(LEFT(D86,1)="K",VLOOKUP(D86,Kit_Catalog!$A:$K,8,FALSE()),VLOOKUP(D86,Additional_Supply_Catalog!$A:$K,7,FALSE())),"")</f>
        <v>44.89</v>
      </c>
      <c r="Q86" s="1" t="n">
        <f aca="false">IFERROR(IF(LEFT(D86,1)="K",VLOOKUP(D86,Kit_Catalog!$A:$K,7,FALSE()),VLOOKUP(D86,Additional_Supply_Catalog!$A:$K,8,FALSE())),"")</f>
        <v>250</v>
      </c>
      <c r="R86" s="1" t="str">
        <f aca="false">IFERROR(IF(LEFT(D86,1)="K","rxn",VLOOKUP(D86,Additional_Supply_Catalog!$A:$K,9,FALSE())),"")</f>
        <v>tube</v>
      </c>
    </row>
    <row r="87" customFormat="false" ht="21.75" hidden="false" customHeight="true" outlineLevel="0" collapsed="false">
      <c r="A87" s="85" t="s">
        <v>957</v>
      </c>
      <c r="B87" s="85" t="s">
        <v>901</v>
      </c>
      <c r="C87" s="85" t="s">
        <v>558</v>
      </c>
      <c r="D87" s="85" t="s">
        <v>557</v>
      </c>
      <c r="E87" s="85" t="s">
        <v>36</v>
      </c>
      <c r="F87" s="88" t="n">
        <v>0.125</v>
      </c>
      <c r="G87" s="85" t="s">
        <v>562</v>
      </c>
      <c r="H87" s="87" t="n">
        <f aca="false">Inputs!$B$20</f>
        <v>0.1</v>
      </c>
      <c r="I87" s="88" t="n">
        <f aca="false">VLOOKUP(E87,Inputs!$D$5:$E$23,2,FALSE())</f>
        <v>0</v>
      </c>
      <c r="J87" s="88" t="n">
        <f aca="false">F87*I87*(1+H87)</f>
        <v>0</v>
      </c>
      <c r="K87" s="104" t="n">
        <f aca="false">IF(ISNUMBER(MATCH(G87,{"tube","each","plate","vial","kit","bottle","aliquot","strainer","cap","lane-rxn","tip","strip","lane","channel","library","sample"},0)),ROUNDUP(J87,0),ROUND(J87,2))</f>
        <v>0</v>
      </c>
      <c r="L87" s="105" t="n">
        <f aca="false">IFERROR(IF(OR(D87="",P87="",Q87="",Q87=0),"",IF(VLOOKUP(R87,Unit_Conversions!$A$5:$C$28,3,FALSE())=VLOOKUP(G87,Unit_Conversions!$A$5:$C$28,3,FALSE()),P87*VLOOKUP(G87,Unit_Conversions!$A$5:$C$28,2,FALSE())/(Q87*VLOOKUP(R87,Unit_Conversions!$A$5:$C$28,2,FALSE())),"")),"")</f>
        <v>0.7804</v>
      </c>
      <c r="M87" s="105" t="n">
        <f aca="false">IFERROR(F87*L87,"")</f>
        <v>0.09755</v>
      </c>
      <c r="N87" s="106" t="n">
        <f aca="false">IFERROR(J87*L87,"")</f>
        <v>0</v>
      </c>
      <c r="O87" s="94" t="s">
        <v>981</v>
      </c>
      <c r="P87" s="1" t="n">
        <f aca="false">IFERROR(IF(LEFT(D87,1)="K",VLOOKUP(D87,Kit_Catalog!$A:$K,8,FALSE()),VLOOKUP(D87,Additional_Supply_Catalog!$A:$K,7,FALSE())),"")</f>
        <v>97.55</v>
      </c>
      <c r="Q87" s="1" t="n">
        <f aca="false">IFERROR(IF(LEFT(D87,1)="K",VLOOKUP(D87,Kit_Catalog!$A:$K,7,FALSE()),VLOOKUP(D87,Additional_Supply_Catalog!$A:$K,8,FALSE())),"")</f>
        <v>125</v>
      </c>
      <c r="R87" s="1" t="str">
        <f aca="false">IFERROR(IF(LEFT(D87,1)="K","rxn",VLOOKUP(D87,Additional_Supply_Catalog!$A:$K,9,FALSE())),"")</f>
        <v>strip</v>
      </c>
    </row>
    <row r="88" customFormat="false" ht="14.25" hidden="false" customHeight="true" outlineLevel="0" collapsed="false">
      <c r="A88" s="85" t="s">
        <v>957</v>
      </c>
      <c r="B88" s="85" t="s">
        <v>901</v>
      </c>
      <c r="C88" s="85" t="s">
        <v>982</v>
      </c>
      <c r="D88" s="85" t="s">
        <v>536</v>
      </c>
      <c r="E88" s="85" t="s">
        <v>36</v>
      </c>
      <c r="F88" s="88" t="n">
        <v>6</v>
      </c>
      <c r="G88" s="85" t="s">
        <v>534</v>
      </c>
      <c r="H88" s="87" t="n">
        <f aca="false">Inputs!$B$20</f>
        <v>0.1</v>
      </c>
      <c r="I88" s="88" t="n">
        <f aca="false">VLOOKUP(E88,Inputs!$D$5:$E$23,2,FALSE())</f>
        <v>0</v>
      </c>
      <c r="J88" s="88" t="n">
        <f aca="false">F88*I88*(1+H88)</f>
        <v>0</v>
      </c>
      <c r="K88" s="104" t="n">
        <f aca="false">IF(ISNUMBER(MATCH(G88,{"tube","each","plate","vial","kit","bottle","aliquot","strainer","cap","lane-rxn","tip","strip","lane","channel","library","sample"},0)),ROUNDUP(J88,0),ROUND(J88,2))</f>
        <v>0</v>
      </c>
      <c r="L88" s="105" t="n">
        <f aca="false">IFERROR(IF(OR(D88="",P88="",Q88="",Q88=0),"",IF(VLOOKUP(R88,Unit_Conversions!$A$5:$C$28,3,FALSE())=VLOOKUP(G88,Unit_Conversions!$A$5:$C$28,3,FALSE()),P88*VLOOKUP(G88,Unit_Conversions!$A$5:$C$28,2,FALSE())/(Q88*VLOOKUP(R88,Unit_Conversions!$A$5:$C$28,2,FALSE())),"")),"")</f>
        <v>0.0187916666666667</v>
      </c>
      <c r="M88" s="105" t="n">
        <f aca="false">IFERROR(F88*L88,"")</f>
        <v>0.11275</v>
      </c>
      <c r="N88" s="106" t="n">
        <f aca="false">IFERROR(J88*L88,"")</f>
        <v>0</v>
      </c>
      <c r="O88" s="94" t="s">
        <v>983</v>
      </c>
      <c r="P88" s="1" t="n">
        <f aca="false">IFERROR(IF(LEFT(D88,1)="K",VLOOKUP(D88,Kit_Catalog!$A:$K,8,FALSE()),VLOOKUP(D88,Additional_Supply_Catalog!$A:$K,7,FALSE())),"")</f>
        <v>180.4</v>
      </c>
      <c r="Q88" s="1" t="n">
        <f aca="false">IFERROR(IF(LEFT(D88,1)="K",VLOOKUP(D88,Kit_Catalog!$A:$K,7,FALSE()),VLOOKUP(D88,Additional_Supply_Catalog!$A:$K,8,FALSE())),"")</f>
        <v>9600</v>
      </c>
      <c r="R88" s="1" t="str">
        <f aca="false">IFERROR(IF(LEFT(D88,1)="K","rxn",VLOOKUP(D88,Additional_Supply_Catalog!$A:$K,9,FALSE())),"")</f>
        <v>tip</v>
      </c>
    </row>
    <row r="89" customFormat="false" ht="14.25" hidden="false" customHeight="true" outlineLevel="0" collapsed="false">
      <c r="A89" s="85"/>
      <c r="B89" s="85"/>
      <c r="C89" s="85"/>
      <c r="D89" s="85"/>
      <c r="E89" s="85"/>
      <c r="F89" s="88"/>
      <c r="G89" s="85"/>
      <c r="H89" s="87"/>
      <c r="I89" s="88"/>
      <c r="J89" s="88"/>
      <c r="K89" s="104"/>
      <c r="L89" s="105"/>
      <c r="M89" s="105"/>
      <c r="N89" s="106"/>
      <c r="O89" s="94"/>
    </row>
    <row r="90" customFormat="false" ht="21.75" hidden="false" customHeight="true" outlineLevel="0" collapsed="false">
      <c r="A90" s="85"/>
      <c r="B90" s="85"/>
      <c r="C90" s="85"/>
      <c r="D90" s="85"/>
      <c r="E90" s="85"/>
      <c r="F90" s="88"/>
      <c r="G90" s="85"/>
      <c r="H90" s="87"/>
      <c r="I90" s="88"/>
      <c r="J90" s="88"/>
      <c r="K90" s="104"/>
      <c r="L90" s="105"/>
      <c r="M90" s="105"/>
      <c r="N90" s="106"/>
      <c r="O90" s="94"/>
    </row>
    <row r="91" customFormat="false" ht="21.75" hidden="false" customHeight="true" outlineLevel="0" collapsed="false">
      <c r="A91" s="85"/>
      <c r="B91" s="85"/>
      <c r="C91" s="85"/>
      <c r="D91" s="85"/>
      <c r="E91" s="85"/>
      <c r="F91" s="88"/>
      <c r="G91" s="85"/>
      <c r="H91" s="87"/>
      <c r="I91" s="88"/>
      <c r="J91" s="88"/>
      <c r="K91" s="104"/>
      <c r="L91" s="105"/>
      <c r="M91" s="105"/>
      <c r="N91" s="106"/>
      <c r="O91" s="94"/>
    </row>
    <row r="92" customFormat="false" ht="14.25" hidden="false" customHeight="true" outlineLevel="0" collapsed="false">
      <c r="A92" s="85"/>
      <c r="B92" s="85"/>
      <c r="C92" s="85"/>
      <c r="D92" s="85"/>
      <c r="E92" s="85"/>
      <c r="F92" s="88"/>
      <c r="G92" s="85"/>
      <c r="H92" s="87"/>
      <c r="I92" s="88"/>
      <c r="J92" s="88"/>
      <c r="K92" s="104"/>
      <c r="L92" s="105"/>
      <c r="M92" s="105"/>
      <c r="N92" s="106"/>
      <c r="O92" s="94"/>
    </row>
    <row r="93" customFormat="false" ht="14.25" hidden="false" customHeight="true" outlineLevel="0" collapsed="false">
      <c r="A93" s="85"/>
      <c r="B93" s="85"/>
      <c r="C93" s="85"/>
      <c r="D93" s="85"/>
      <c r="E93" s="85"/>
      <c r="F93" s="88"/>
      <c r="G93" s="85"/>
      <c r="H93" s="87"/>
      <c r="I93" s="88"/>
      <c r="J93" s="88"/>
      <c r="K93" s="104"/>
      <c r="L93" s="105"/>
      <c r="M93" s="105"/>
      <c r="N93" s="106"/>
      <c r="O93" s="94"/>
    </row>
    <row r="94" customFormat="false" ht="14.25" hidden="false" customHeight="true" outlineLevel="0" collapsed="false">
      <c r="A94" s="85"/>
      <c r="B94" s="85"/>
      <c r="C94" s="85"/>
      <c r="D94" s="85"/>
      <c r="E94" s="85"/>
      <c r="F94" s="88"/>
      <c r="G94" s="85"/>
      <c r="H94" s="87"/>
      <c r="I94" s="88"/>
      <c r="J94" s="88"/>
      <c r="K94" s="104"/>
      <c r="L94" s="105"/>
      <c r="M94" s="105"/>
      <c r="N94" s="106"/>
      <c r="O94" s="94"/>
    </row>
    <row r="95" customFormat="false" ht="14.25" hidden="false" customHeight="true" outlineLevel="0" collapsed="false">
      <c r="A95" s="85"/>
      <c r="B95" s="85"/>
      <c r="C95" s="85"/>
      <c r="D95" s="85"/>
      <c r="E95" s="85"/>
      <c r="F95" s="88"/>
      <c r="G95" s="85"/>
      <c r="H95" s="87"/>
      <c r="I95" s="88"/>
      <c r="J95" s="88"/>
      <c r="K95" s="104"/>
      <c r="L95" s="105"/>
      <c r="M95" s="105"/>
      <c r="N95" s="106"/>
      <c r="O95" s="94"/>
    </row>
    <row r="96" customFormat="false" ht="14.25" hidden="false" customHeight="true" outlineLevel="0" collapsed="false">
      <c r="A96" s="85"/>
      <c r="B96" s="85"/>
      <c r="C96" s="85"/>
      <c r="D96" s="85"/>
      <c r="E96" s="85"/>
      <c r="F96" s="88"/>
      <c r="G96" s="85"/>
      <c r="H96" s="87"/>
      <c r="I96" s="88"/>
      <c r="J96" s="88"/>
      <c r="K96" s="104"/>
      <c r="L96" s="105"/>
      <c r="M96" s="105"/>
      <c r="N96" s="106"/>
      <c r="O96" s="94"/>
    </row>
    <row r="97" customFormat="false" ht="14.25" hidden="false" customHeight="true" outlineLevel="0" collapsed="false">
      <c r="A97" s="85"/>
      <c r="B97" s="85"/>
      <c r="C97" s="85"/>
      <c r="D97" s="85"/>
      <c r="E97" s="85"/>
      <c r="F97" s="88"/>
      <c r="G97" s="85"/>
      <c r="H97" s="87"/>
      <c r="I97" s="88"/>
      <c r="J97" s="88"/>
      <c r="K97" s="104"/>
      <c r="L97" s="105"/>
      <c r="M97" s="105"/>
      <c r="N97" s="106"/>
      <c r="O97" s="94"/>
    </row>
    <row r="98" customFormat="false" ht="21.75" hidden="false" customHeight="true" outlineLevel="0" collapsed="false">
      <c r="A98" s="85"/>
      <c r="B98" s="85"/>
      <c r="C98" s="85"/>
      <c r="D98" s="85"/>
      <c r="E98" s="85"/>
      <c r="F98" s="88"/>
      <c r="G98" s="85"/>
      <c r="H98" s="87"/>
      <c r="I98" s="88"/>
      <c r="J98" s="88"/>
      <c r="K98" s="104"/>
      <c r="L98" s="105"/>
      <c r="M98" s="105"/>
      <c r="N98" s="106"/>
      <c r="O98" s="94"/>
    </row>
    <row r="99" customFormat="false" ht="14.25" hidden="false" customHeight="true" outlineLevel="0" collapsed="false">
      <c r="A99" s="85"/>
      <c r="B99" s="85"/>
      <c r="C99" s="85"/>
      <c r="D99" s="85"/>
      <c r="E99" s="85"/>
      <c r="F99" s="88"/>
      <c r="G99" s="85"/>
      <c r="H99" s="87"/>
      <c r="I99" s="88"/>
      <c r="J99" s="88"/>
      <c r="K99" s="104"/>
      <c r="L99" s="105"/>
      <c r="M99" s="105"/>
      <c r="N99" s="106"/>
      <c r="O99" s="94"/>
    </row>
    <row r="100" customFormat="false" ht="14.25" hidden="false" customHeight="true" outlineLevel="0" collapsed="false">
      <c r="A100" s="85"/>
      <c r="B100" s="85"/>
      <c r="C100" s="85"/>
      <c r="D100" s="85"/>
      <c r="E100" s="85"/>
      <c r="F100" s="88"/>
      <c r="G100" s="85"/>
      <c r="H100" s="87"/>
      <c r="I100" s="88"/>
      <c r="J100" s="88"/>
      <c r="K100" s="104"/>
      <c r="L100" s="105"/>
      <c r="M100" s="105"/>
      <c r="N100" s="106"/>
      <c r="O100" s="94"/>
    </row>
    <row r="101" customFormat="false" ht="14.25" hidden="false" customHeight="true" outlineLevel="0" collapsed="false">
      <c r="A101" s="85"/>
      <c r="B101" s="85"/>
      <c r="C101" s="85"/>
      <c r="D101" s="85"/>
      <c r="E101" s="85"/>
      <c r="F101" s="88"/>
      <c r="G101" s="85"/>
      <c r="H101" s="87"/>
      <c r="I101" s="88"/>
      <c r="J101" s="88"/>
      <c r="K101" s="104"/>
      <c r="L101" s="105"/>
      <c r="M101" s="105"/>
      <c r="N101" s="106"/>
      <c r="O101" s="94"/>
    </row>
    <row r="102" customFormat="false" ht="14.25" hidden="false" customHeight="true" outlineLevel="0" collapsed="false">
      <c r="A102" s="85"/>
      <c r="B102" s="85"/>
      <c r="C102" s="85"/>
      <c r="D102" s="85"/>
      <c r="E102" s="85"/>
      <c r="F102" s="88"/>
      <c r="G102" s="85"/>
      <c r="H102" s="87"/>
      <c r="I102" s="88"/>
      <c r="J102" s="88"/>
      <c r="K102" s="104"/>
      <c r="L102" s="105"/>
      <c r="M102" s="105"/>
      <c r="N102" s="106"/>
      <c r="O102" s="94"/>
    </row>
    <row r="103" customFormat="false" ht="14.25" hidden="false" customHeight="true" outlineLevel="0" collapsed="false">
      <c r="A103" s="1" t="s">
        <v>938</v>
      </c>
      <c r="B103" s="1" t="s">
        <v>901</v>
      </c>
      <c r="C103" s="1" t="s">
        <v>984</v>
      </c>
      <c r="D103" s="1" t="s">
        <v>428</v>
      </c>
      <c r="E103" s="1" t="s">
        <v>11</v>
      </c>
      <c r="F103" s="1" t="n">
        <v>5</v>
      </c>
      <c r="G103" s="1" t="s">
        <v>397</v>
      </c>
      <c r="H103" s="107" t="n">
        <f aca="false">Inputs!$B$20</f>
        <v>0.1</v>
      </c>
      <c r="I103" s="1" t="n">
        <f aca="false">VLOOKUP(E103,Inputs!$D$5:$E$23,2,FALSE())</f>
        <v>6</v>
      </c>
      <c r="J103" s="1" t="n">
        <f aca="false">F103*I103*(1+H103)</f>
        <v>33</v>
      </c>
      <c r="K103" s="1" t="n">
        <f aca="false">IF(ISNUMBER(MATCH(G103,{"tube","each","plate","vial","kit","bottle","aliquot","strainer","cap","lane-rxn","tip","strip","lane","channel","library","sample"},0)),ROUNDUP(J103,0),ROUND(J103,2))</f>
        <v>33</v>
      </c>
      <c r="L103" s="1" t="n">
        <f aca="false">IFERROR(IF(OR(D103="",P103="",Q103="",Q103=0),"",IF(VLOOKUP(R103,Unit_Conversions!$A$5:$C$28,3,FALSE())=VLOOKUP(G103,Unit_Conversions!$A$5:$C$28,3,FALSE()),P103*VLOOKUP(G103,Unit_Conversions!$A$5:$C$28,2,FALSE())/(Q103*VLOOKUP(R103,Unit_Conversions!$A$5:$C$28,2,FALSE())),"")),"")</f>
        <v>25.85</v>
      </c>
      <c r="M103" s="1" t="n">
        <f aca="false">IFERROR(F103*L103,"")</f>
        <v>129.25</v>
      </c>
      <c r="N103" s="1" t="n">
        <f aca="false">IFERROR(J103*L103,"")</f>
        <v>853.05</v>
      </c>
      <c r="O103" s="1" t="s">
        <v>985</v>
      </c>
      <c r="P103" s="1" t="n">
        <f aca="false">IFERROR(IF(LEFT(D103,1)="K",VLOOKUP(D103,Kit_Catalog!$A:$K,8,FALSE()),VLOOKUP(D103,Additional_Supply_Catalog!$A:$K,7,FALSE())),"")</f>
        <v>517</v>
      </c>
      <c r="Q103" s="1" t="n">
        <f aca="false">IFERROR(IF(LEFT(D103,1)="K",VLOOKUP(D103,Kit_Catalog!$A:$K,7,FALSE()),VLOOKUP(D103,Additional_Supply_Catalog!$A:$K,8,FALSE())),"")</f>
        <v>20</v>
      </c>
      <c r="R103" s="1" t="str">
        <f aca="false">IFERROR(IF(LEFT(D103,1)="K","rxn",VLOOKUP(D103,Additional_Supply_Catalog!$A:$K,9,FALSE())),"")</f>
        <v>uL</v>
      </c>
    </row>
    <row r="104" customFormat="false" ht="14.25" hidden="false" customHeight="true" outlineLevel="0" collapsed="false">
      <c r="A104" s="1" t="s">
        <v>938</v>
      </c>
      <c r="B104" s="1" t="s">
        <v>901</v>
      </c>
      <c r="C104" s="1" t="s">
        <v>468</v>
      </c>
      <c r="D104" s="1" t="s">
        <v>466</v>
      </c>
      <c r="E104" s="1" t="s">
        <v>11</v>
      </c>
      <c r="F104" s="1" t="n">
        <v>0.04</v>
      </c>
      <c r="G104" s="1" t="s">
        <v>404</v>
      </c>
      <c r="H104" s="107" t="n">
        <f aca="false">Inputs!$B$20</f>
        <v>0.1</v>
      </c>
      <c r="I104" s="1" t="n">
        <f aca="false">VLOOKUP(E104,Inputs!$D$5:$E$23,2,FALSE())</f>
        <v>6</v>
      </c>
      <c r="J104" s="1" t="n">
        <f aca="false">F104*I104*(1+H104)</f>
        <v>0.264</v>
      </c>
      <c r="K104" s="1" t="n">
        <f aca="false">IF(ISNUMBER(MATCH(G104,{"tube","each","plate","vial","kit","bottle","aliquot","strainer","cap","lane-rxn","tip","strip","lane","channel","library","sample"},0)),ROUNDUP(J104,0),ROUND(J104,2))</f>
        <v>0.26</v>
      </c>
      <c r="L104" s="1" t="n">
        <f aca="false">IFERROR(IF(OR(D104="",P104="",Q104="",Q104=0),"",IF(VLOOKUP(R104,Unit_Conversions!$A$5:$C$28,3,FALSE())=VLOOKUP(G104,Unit_Conversions!$A$5:$C$28,3,FALSE()),P104*VLOOKUP(G104,Unit_Conversions!$A$5:$C$28,2,FALSE())/(Q104*VLOOKUP(R104,Unit_Conversions!$A$5:$C$28,2,FALSE())),"")),"")</f>
        <v>4.152</v>
      </c>
      <c r="M104" s="1" t="n">
        <f aca="false">IFERROR(F104*L104,"")</f>
        <v>0.16608</v>
      </c>
      <c r="N104" s="1" t="n">
        <f aca="false">IFERROR(J104*L104,"")</f>
        <v>1.096128</v>
      </c>
      <c r="O104" s="1" t="s">
        <v>986</v>
      </c>
      <c r="P104" s="1" t="n">
        <f aca="false">IFERROR(IF(LEFT(D104,1)="K",VLOOKUP(D104,Kit_Catalog!$A:$K,8,FALSE()),VLOOKUP(D104,Additional_Supply_Catalog!$A:$K,7,FALSE())),"")</f>
        <v>103.8</v>
      </c>
      <c r="Q104" s="1" t="n">
        <f aca="false">IFERROR(IF(LEFT(D104,1)="K",VLOOKUP(D104,Kit_Catalog!$A:$K,7,FALSE()),VLOOKUP(D104,Additional_Supply_Catalog!$A:$K,8,FALSE())),"")</f>
        <v>25</v>
      </c>
      <c r="R104" s="1" t="str">
        <f aca="false">IFERROR(IF(LEFT(D104,1)="K","rxn",VLOOKUP(D104,Additional_Supply_Catalog!$A:$K,9,FALSE())),"")</f>
        <v>g</v>
      </c>
    </row>
    <row r="105" customFormat="false" ht="14.25" hidden="false" customHeight="true" outlineLevel="0" collapsed="false">
      <c r="A105" s="1" t="s">
        <v>924</v>
      </c>
      <c r="B105" s="1" t="s">
        <v>901</v>
      </c>
      <c r="C105" s="1" t="s">
        <v>921</v>
      </c>
      <c r="D105" s="1" t="s">
        <v>339</v>
      </c>
      <c r="E105" s="1" t="s">
        <v>13</v>
      </c>
      <c r="F105" s="1" t="n">
        <v>9</v>
      </c>
      <c r="G105" s="1" t="s">
        <v>337</v>
      </c>
      <c r="H105" s="107" t="n">
        <f aca="false">Inputs!$B$20</f>
        <v>0.1</v>
      </c>
      <c r="I105" s="1" t="n">
        <f aca="false">VLOOKUP(E105,Inputs!$D$5:$E$23,2,FALSE())</f>
        <v>1</v>
      </c>
      <c r="J105" s="1" t="n">
        <f aca="false">F105*I105*(1+H105)</f>
        <v>9.9</v>
      </c>
      <c r="K105" s="1" t="n">
        <f aca="false">IF(ISNUMBER(MATCH(G105,{"tube","each","plate","vial","kit","bottle","aliquot","strainer","cap","lane-rxn","tip","strip","lane","channel","library","sample"},0)),ROUNDUP(J105,0),ROUND(J105,2))</f>
        <v>9.9</v>
      </c>
      <c r="L105" s="1" t="n">
        <f aca="false">IFERROR(IF(OR(D105="",P105="",Q105="",Q105=0),"",IF(VLOOKUP(R105,Unit_Conversions!$A$5:$C$28,3,FALSE())=VLOOKUP(G105,Unit_Conversions!$A$5:$C$28,3,FALSE()),P105*VLOOKUP(G105,Unit_Conversions!$A$5:$C$28,2,FALSE())/(Q105*VLOOKUP(R105,Unit_Conversions!$A$5:$C$28,2,FALSE())),"")),"")</f>
        <v>0.03804</v>
      </c>
      <c r="M105" s="1" t="n">
        <f aca="false">IFERROR(F105*L105,"")</f>
        <v>0.34236</v>
      </c>
      <c r="N105" s="1" t="n">
        <f aca="false">IFERROR(J105*L105,"")</f>
        <v>0.376596</v>
      </c>
      <c r="O105" s="1" t="s">
        <v>987</v>
      </c>
      <c r="P105" s="1" t="n">
        <f aca="false">IFERROR(IF(LEFT(D105,1)="K",VLOOKUP(D105,Kit_Catalog!$A:$K,8,FALSE()),VLOOKUP(D105,Additional_Supply_Catalog!$A:$K,7,FALSE())),"")</f>
        <v>19.02</v>
      </c>
      <c r="Q105" s="1" t="n">
        <f aca="false">IFERROR(IF(LEFT(D105,1)="K",VLOOKUP(D105,Kit_Catalog!$A:$K,7,FALSE()),VLOOKUP(D105,Additional_Supply_Catalog!$A:$K,8,FALSE())),"")</f>
        <v>500</v>
      </c>
      <c r="R105" s="1" t="str">
        <f aca="false">IFERROR(IF(LEFT(D105,1)="K","rxn",VLOOKUP(D105,Additional_Supply_Catalog!$A:$K,9,FALSE())),"")</f>
        <v>mL</v>
      </c>
    </row>
  </sheetData>
  <autoFilter ref="A1:O7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3" min="3" style="1" width="30"/>
    <col collapsed="false" customWidth="true" hidden="false" outlineLevel="0" max="4" min="4" style="1" width="8"/>
    <col collapsed="false" customWidth="true" hidden="false" outlineLevel="0" max="5" min="5" style="1" width="20"/>
    <col collapsed="false" customWidth="true" hidden="false" outlineLevel="0" max="6" min="6" style="1" width="11"/>
    <col collapsed="false" customWidth="true" hidden="false" outlineLevel="0" max="7" min="7" style="1" width="9"/>
    <col collapsed="false" customWidth="true" hidden="false" outlineLevel="0" max="9" min="8" style="1" width="8"/>
    <col collapsed="false" customWidth="true" hidden="false" outlineLevel="0" max="10" min="10" style="1" width="11"/>
    <col collapsed="false" customWidth="true" hidden="false" outlineLevel="0" max="11" min="11" style="1" width="12"/>
    <col collapsed="false" customWidth="true" hidden="false" outlineLevel="0" max="12" min="12" style="1" width="13"/>
    <col collapsed="false" customWidth="true" hidden="false" outlineLevel="0" max="13" min="13" style="1" width="15"/>
    <col collapsed="false" customWidth="true" hidden="false" outlineLevel="0" max="14" min="14" style="1" width="13"/>
    <col collapsed="false" customWidth="true" hidden="false" outlineLevel="0" max="15" min="15" style="1" width="42"/>
    <col collapsed="false" customWidth="true" hidden="true" outlineLevel="0" max="18" min="16" style="1" width="13"/>
  </cols>
  <sheetData>
    <row r="1" customFormat="false" ht="41.25" hidden="false" customHeight="true" outlineLevel="0" collapsed="false">
      <c r="A1" s="76" t="s">
        <v>878</v>
      </c>
      <c r="B1" s="76" t="s">
        <v>879</v>
      </c>
      <c r="C1" s="76" t="s">
        <v>880</v>
      </c>
      <c r="D1" s="76" t="s">
        <v>881</v>
      </c>
      <c r="E1" s="76" t="s">
        <v>882</v>
      </c>
      <c r="F1" s="76" t="s">
        <v>883</v>
      </c>
      <c r="G1" s="76" t="s">
        <v>884</v>
      </c>
      <c r="H1" s="76" t="s">
        <v>885</v>
      </c>
      <c r="I1" s="76" t="s">
        <v>886</v>
      </c>
      <c r="J1" s="76" t="s">
        <v>887</v>
      </c>
      <c r="K1" s="76" t="s">
        <v>888</v>
      </c>
      <c r="L1" s="76" t="s">
        <v>889</v>
      </c>
      <c r="M1" s="76" t="s">
        <v>890</v>
      </c>
      <c r="N1" s="76" t="s">
        <v>7</v>
      </c>
      <c r="O1" s="76" t="s">
        <v>891</v>
      </c>
      <c r="P1" s="16" t="s">
        <v>892</v>
      </c>
      <c r="Q1" s="16" t="s">
        <v>893</v>
      </c>
      <c r="R1" s="16" t="s">
        <v>894</v>
      </c>
    </row>
    <row r="2" customFormat="false" ht="15" hidden="false" customHeight="true" outlineLevel="0" collapsed="false">
      <c r="A2" s="85" t="s">
        <v>988</v>
      </c>
      <c r="B2" s="85" t="s">
        <v>901</v>
      </c>
      <c r="C2" s="85" t="s">
        <v>174</v>
      </c>
      <c r="D2" s="85" t="s">
        <v>172</v>
      </c>
      <c r="E2" s="85" t="s">
        <v>22</v>
      </c>
      <c r="F2" s="86" t="n">
        <v>1</v>
      </c>
      <c r="G2" s="85" t="s">
        <v>971</v>
      </c>
      <c r="H2" s="87" t="n">
        <f aca="false">Inputs!$B$20</f>
        <v>0.1</v>
      </c>
      <c r="I2" s="88" t="n">
        <f aca="false">VLOOKUP(E2,Inputs!$D$5:$E$23,2,FALSE())</f>
        <v>8</v>
      </c>
      <c r="J2" s="89" t="n">
        <f aca="false">F2*I2*(1+H2)</f>
        <v>8.8</v>
      </c>
      <c r="K2" s="90" t="n">
        <f aca="false">IF(ISNUMBER(MATCH(G2,{"tube","each","plate","vial","kit","bottle","aliquot","strainer","cap","lane-rxn","tip","strip","lane","channel","library","sample"},0)),ROUNDUP(J2,0),ROUND(J2,2))</f>
        <v>8.8</v>
      </c>
      <c r="L2" s="91" t="n">
        <f aca="false">IFERROR(IF(OR(D2="",P2="",Q2="",Q2=0),"",IF(VLOOKUP(R2,Unit_Conversions!$A$5:$C$28,3,FALSE())=VLOOKUP(G2,Unit_Conversions!$A$5:$C$28,3,FALSE()),P2*VLOOKUP(G2,Unit_Conversions!$A$5:$C$28,2,FALSE())/(Q2*VLOOKUP(R2,Unit_Conversions!$A$5:$C$28,2,FALSE())),"")),"")</f>
        <v>1479.375</v>
      </c>
      <c r="M2" s="92" t="n">
        <f aca="false">IFERROR(F2*L2,"")</f>
        <v>1479.375</v>
      </c>
      <c r="N2" s="93" t="n">
        <f aca="false">IFERROR(J2*L2,"")</f>
        <v>13018.5</v>
      </c>
      <c r="O2" s="94" t="s">
        <v>989</v>
      </c>
      <c r="P2" s="1" t="n">
        <f aca="false">IFERROR(IF(LEFT(D2,1)="K",VLOOKUP(D2,Kit_Catalog!$A:$K,8,FALSE()),VLOOKUP(D2,Additional_Supply_Catalog!$A:$K,7,FALSE())),"")</f>
        <v>23670</v>
      </c>
      <c r="Q2" s="1" t="n">
        <f aca="false">IFERROR(IF(LEFT(D2,1)="K",VLOOKUP(D2,Kit_Catalog!$A:$K,7,FALSE()),VLOOKUP(D2,Additional_Supply_Catalog!$A:$K,8,FALSE())),"")</f>
        <v>16</v>
      </c>
      <c r="R2" s="1" t="str">
        <f aca="false">IFERROR(IF(LEFT(D2,1)="K","rxn",VLOOKUP(D2,Additional_Supply_Catalog!$A:$K,9,FALSE())),"")</f>
        <v>rxn</v>
      </c>
    </row>
    <row r="3" customFormat="false" ht="15" hidden="false" customHeight="true" outlineLevel="0" collapsed="false">
      <c r="A3" s="85" t="s">
        <v>988</v>
      </c>
      <c r="B3" s="85" t="s">
        <v>901</v>
      </c>
      <c r="C3" s="85" t="s">
        <v>183</v>
      </c>
      <c r="D3" s="85" t="s">
        <v>182</v>
      </c>
      <c r="E3" s="85" t="s">
        <v>22</v>
      </c>
      <c r="F3" s="86" t="n">
        <v>1</v>
      </c>
      <c r="G3" s="85" t="s">
        <v>971</v>
      </c>
      <c r="H3" s="87" t="n">
        <f aca="false">Inputs!$B$20</f>
        <v>0.1</v>
      </c>
      <c r="I3" s="88" t="n">
        <f aca="false">VLOOKUP(E3,Inputs!$D$5:$E$23,2,FALSE())</f>
        <v>8</v>
      </c>
      <c r="J3" s="89" t="n">
        <f aca="false">F3*I3*(1+H3)</f>
        <v>8.8</v>
      </c>
      <c r="K3" s="90" t="n">
        <f aca="false">IF(ISNUMBER(MATCH(G3,{"tube","each","plate","vial","kit","bottle","aliquot","strainer","cap","lane-rxn","tip","strip","lane","channel","library","sample"},0)),ROUNDUP(J3,0),ROUND(J3,2))</f>
        <v>8.8</v>
      </c>
      <c r="L3" s="91" t="n">
        <f aca="false">IFERROR(IF(OR(D3="",P3="",Q3="",Q3=0),"",IF(VLOOKUP(R3,Unit_Conversions!$A$5:$C$28,3,FALSE())=VLOOKUP(G3,Unit_Conversions!$A$5:$C$28,3,FALSE()),P3*VLOOKUP(G3,Unit_Conversions!$A$5:$C$28,2,FALSE())/(Q3*VLOOKUP(R3,Unit_Conversions!$A$5:$C$28,2,FALSE())),"")),"")</f>
        <v>78.125</v>
      </c>
      <c r="M3" s="92" t="n">
        <f aca="false">IFERROR(F3*L3,"")</f>
        <v>78.125</v>
      </c>
      <c r="N3" s="93" t="n">
        <f aca="false">IFERROR(J3*L3,"")</f>
        <v>687.5</v>
      </c>
      <c r="O3" s="94" t="s">
        <v>989</v>
      </c>
      <c r="P3" s="1" t="n">
        <f aca="false">IFERROR(IF(LEFT(D3,1)="K",VLOOKUP(D3,Kit_Catalog!$A:$K,8,FALSE()),VLOOKUP(D3,Additional_Supply_Catalog!$A:$K,7,FALSE())),"")</f>
        <v>1250</v>
      </c>
      <c r="Q3" s="1" t="n">
        <f aca="false">IFERROR(IF(LEFT(D3,1)="K",VLOOKUP(D3,Kit_Catalog!$A:$K,7,FALSE()),VLOOKUP(D3,Additional_Supply_Catalog!$A:$K,8,FALSE())),"")</f>
        <v>16</v>
      </c>
      <c r="R3" s="1" t="str">
        <f aca="false">IFERROR(IF(LEFT(D3,1)="K","rxn",VLOOKUP(D3,Additional_Supply_Catalog!$A:$K,9,FALSE())),"")</f>
        <v>rxn</v>
      </c>
    </row>
    <row r="4" customFormat="false" ht="15" hidden="false" customHeight="true" outlineLevel="0" collapsed="false">
      <c r="A4" s="85" t="s">
        <v>988</v>
      </c>
      <c r="B4" s="85" t="s">
        <v>901</v>
      </c>
      <c r="C4" s="85" t="s">
        <v>354</v>
      </c>
      <c r="D4" s="85" t="s">
        <v>353</v>
      </c>
      <c r="E4" s="85" t="s">
        <v>22</v>
      </c>
      <c r="F4" s="86" t="n">
        <v>0.179</v>
      </c>
      <c r="G4" s="85" t="s">
        <v>337</v>
      </c>
      <c r="H4" s="87" t="n">
        <f aca="false">Inputs!$B$20</f>
        <v>0.1</v>
      </c>
      <c r="I4" s="88" t="n">
        <f aca="false">VLOOKUP(E4,Inputs!$D$5:$E$23,2,FALSE())</f>
        <v>8</v>
      </c>
      <c r="J4" s="89" t="n">
        <f aca="false">F4*I4*(1+H4)</f>
        <v>1.5752</v>
      </c>
      <c r="K4" s="90" t="n">
        <f aca="false">IF(ISNUMBER(MATCH(G4,{"tube","each","plate","vial","kit","bottle","aliquot","strainer","cap","lane-rxn","tip","strip","lane","channel","library","sample"},0)),ROUNDUP(J4,0),ROUND(J4,2))</f>
        <v>1.58</v>
      </c>
      <c r="L4" s="91" t="n">
        <f aca="false">IFERROR(IF(OR(D4="",P4="",Q4="",Q4=0),"",IF(VLOOKUP(R4,Unit_Conversions!$A$5:$C$28,3,FALSE())=VLOOKUP(G4,Unit_Conversions!$A$5:$C$28,3,FALSE()),P4*VLOOKUP(G4,Unit_Conversions!$A$5:$C$28,2,FALSE())/(Q4*VLOOKUP(R4,Unit_Conversions!$A$5:$C$28,2,FALSE())),"")),"")</f>
        <v>0.1996</v>
      </c>
      <c r="M4" s="92" t="n">
        <f aca="false">IFERROR(F4*L4,"")</f>
        <v>0.0357284</v>
      </c>
      <c r="N4" s="93" t="n">
        <f aca="false">IFERROR(J4*L4,"")</f>
        <v>0.31440992</v>
      </c>
      <c r="O4" s="94" t="s">
        <v>990</v>
      </c>
      <c r="P4" s="1" t="n">
        <f aca="false">IFERROR(IF(LEFT(D4,1)="K",VLOOKUP(D4,Kit_Catalog!$A:$K,8,FALSE()),VLOOKUP(D4,Additional_Supply_Catalog!$A:$K,7,FALSE())),"")</f>
        <v>49.9</v>
      </c>
      <c r="Q4" s="1" t="n">
        <f aca="false">IFERROR(IF(LEFT(D4,1)="K",VLOOKUP(D4,Kit_Catalog!$A:$K,7,FALSE()),VLOOKUP(D4,Additional_Supply_Catalog!$A:$K,8,FALSE())),"")</f>
        <v>250</v>
      </c>
      <c r="R4" s="1" t="str">
        <f aca="false">IFERROR(IF(LEFT(D4,1)="K","rxn",VLOOKUP(D4,Additional_Supply_Catalog!$A:$K,9,FALSE())),"")</f>
        <v>mL</v>
      </c>
    </row>
    <row r="5" customFormat="false" ht="15" hidden="false" customHeight="true" outlineLevel="0" collapsed="false">
      <c r="A5" s="85" t="s">
        <v>988</v>
      </c>
      <c r="B5" s="85" t="s">
        <v>901</v>
      </c>
      <c r="C5" s="85" t="s">
        <v>991</v>
      </c>
      <c r="D5" s="85" t="s">
        <v>346</v>
      </c>
      <c r="E5" s="85" t="s">
        <v>22</v>
      </c>
      <c r="F5" s="86" t="n">
        <v>1.3</v>
      </c>
      <c r="G5" s="85" t="s">
        <v>337</v>
      </c>
      <c r="H5" s="87" t="n">
        <f aca="false">Inputs!$B$20</f>
        <v>0.1</v>
      </c>
      <c r="I5" s="88" t="n">
        <f aca="false">VLOOKUP(E5,Inputs!$D$5:$E$23,2,FALSE())</f>
        <v>8</v>
      </c>
      <c r="J5" s="89" t="n">
        <f aca="false">F5*I5*(1+H5)</f>
        <v>11.44</v>
      </c>
      <c r="K5" s="90" t="n">
        <f aca="false">IF(ISNUMBER(MATCH(G5,{"tube","each","plate","vial","kit","bottle","aliquot","strainer","cap","lane-rxn","tip","strip","lane","channel","library","sample"},0)),ROUNDUP(J5,0),ROUND(J5,2))</f>
        <v>11.44</v>
      </c>
      <c r="L5" s="91" t="n">
        <f aca="false">IFERROR(IF(OR(D5="",P5="",Q5="",Q5=0),"",IF(VLOOKUP(R5,Unit_Conversions!$A$5:$C$28,3,FALSE())=VLOOKUP(G5,Unit_Conversions!$A$5:$C$28,3,FALSE()),P5*VLOOKUP(G5,Unit_Conversions!$A$5:$C$28,2,FALSE())/(Q5*VLOOKUP(R5,Unit_Conversions!$A$5:$C$28,2,FALSE())),"")),"")</f>
        <v>0.218</v>
      </c>
      <c r="M5" s="92" t="n">
        <f aca="false">IFERROR(F5*L5,"")</f>
        <v>0.2834</v>
      </c>
      <c r="N5" s="93" t="n">
        <f aca="false">IFERROR(J5*L5,"")</f>
        <v>2.49392</v>
      </c>
      <c r="O5" s="94" t="s">
        <v>990</v>
      </c>
      <c r="P5" s="1" t="n">
        <f aca="false">IFERROR(IF(LEFT(D5,1)="K",VLOOKUP(D5,Kit_Catalog!$A:$K,8,FALSE()),VLOOKUP(D5,Additional_Supply_Catalog!$A:$K,7,FALSE())),"")</f>
        <v>109</v>
      </c>
      <c r="Q5" s="1" t="n">
        <f aca="false">IFERROR(IF(LEFT(D5,1)="K",VLOOKUP(D5,Kit_Catalog!$A:$K,7,FALSE()),VLOOKUP(D5,Additional_Supply_Catalog!$A:$K,8,FALSE())),"")</f>
        <v>500</v>
      </c>
      <c r="R5" s="1" t="str">
        <f aca="false">IFERROR(IF(LEFT(D5,1)="K","rxn",VLOOKUP(D5,Additional_Supply_Catalog!$A:$K,9,FALSE())),"")</f>
        <v>mL</v>
      </c>
    </row>
    <row r="6" customFormat="false" ht="15" hidden="false" customHeight="true" outlineLevel="0" collapsed="false">
      <c r="A6" s="85" t="s">
        <v>988</v>
      </c>
      <c r="B6" s="85" t="s">
        <v>901</v>
      </c>
      <c r="C6" s="85" t="s">
        <v>992</v>
      </c>
      <c r="D6" s="85" t="s">
        <v>360</v>
      </c>
      <c r="E6" s="85" t="s">
        <v>22</v>
      </c>
      <c r="F6" s="86" t="n">
        <v>0.13</v>
      </c>
      <c r="G6" s="85" t="s">
        <v>337</v>
      </c>
      <c r="H6" s="87" t="n">
        <f aca="false">Inputs!$B$20</f>
        <v>0.1</v>
      </c>
      <c r="I6" s="88" t="n">
        <f aca="false">VLOOKUP(E6,Inputs!$D$5:$E$23,2,FALSE())</f>
        <v>8</v>
      </c>
      <c r="J6" s="89" t="n">
        <f aca="false">F6*I6*(1+H6)</f>
        <v>1.144</v>
      </c>
      <c r="K6" s="90" t="n">
        <f aca="false">IF(ISNUMBER(MATCH(G6,{"tube","each","plate","vial","kit","bottle","aliquot","strainer","cap","lane-rxn","tip","strip","lane","channel","library","sample"},0)),ROUNDUP(J6,0),ROUND(J6,2))</f>
        <v>1.14</v>
      </c>
      <c r="L6" s="91" t="n">
        <f aca="false">IFERROR(IF(OR(D6="",P6="",Q6="",Q6=0),"",IF(VLOOKUP(R6,Unit_Conversions!$A$5:$C$28,3,FALSE())=VLOOKUP(G6,Unit_Conversions!$A$5:$C$28,3,FALSE()),P6*VLOOKUP(G6,Unit_Conversions!$A$5:$C$28,2,FALSE())/(Q6*VLOOKUP(R6,Unit_Conversions!$A$5:$C$28,2,FALSE())),"")),"")</f>
        <v>27.265</v>
      </c>
      <c r="M6" s="92" t="n">
        <f aca="false">IFERROR(F6*L6,"")</f>
        <v>3.54445</v>
      </c>
      <c r="N6" s="93" t="n">
        <f aca="false">IFERROR(J6*L6,"")</f>
        <v>31.19116</v>
      </c>
      <c r="O6" s="94" t="s">
        <v>990</v>
      </c>
      <c r="P6" s="1" t="n">
        <f aca="false">IFERROR(IF(LEFT(D6,1)="K",VLOOKUP(D6,Kit_Catalog!$A:$K,8,FALSE()),VLOOKUP(D6,Additional_Supply_Catalog!$A:$K,7,FALSE())),"")</f>
        <v>1635.9</v>
      </c>
      <c r="Q6" s="1" t="n">
        <f aca="false">IFERROR(IF(LEFT(D6,1)="K",VLOOKUP(D6,Kit_Catalog!$A:$K,7,FALSE()),VLOOKUP(D6,Additional_Supply_Catalog!$A:$K,8,FALSE())),"")</f>
        <v>60</v>
      </c>
      <c r="R6" s="1" t="str">
        <f aca="false">IFERROR(IF(LEFT(D6,1)="K","rxn",VLOOKUP(D6,Additional_Supply_Catalog!$A:$K,9,FALSE())),"")</f>
        <v>mL</v>
      </c>
    </row>
    <row r="7" customFormat="false" ht="15" hidden="false" customHeight="true" outlineLevel="0" collapsed="false">
      <c r="A7" s="85" t="s">
        <v>988</v>
      </c>
      <c r="B7" s="85" t="s">
        <v>901</v>
      </c>
      <c r="C7" s="85" t="s">
        <v>993</v>
      </c>
      <c r="D7" s="85" t="s">
        <v>557</v>
      </c>
      <c r="E7" s="85" t="s">
        <v>22</v>
      </c>
      <c r="F7" s="86" t="n">
        <v>0.125</v>
      </c>
      <c r="G7" s="85" t="s">
        <v>562</v>
      </c>
      <c r="H7" s="87" t="n">
        <f aca="false">Inputs!$B$20</f>
        <v>0.1</v>
      </c>
      <c r="I7" s="88" t="n">
        <f aca="false">VLOOKUP(E7,Inputs!$D$5:$E$23,2,FALSE())</f>
        <v>8</v>
      </c>
      <c r="J7" s="89" t="n">
        <f aca="false">F7*I7*(1+H7)</f>
        <v>1.1</v>
      </c>
      <c r="K7" s="90" t="n">
        <f aca="false">IF(ISNUMBER(MATCH(G7,{"tube","each","plate","vial","kit","bottle","aliquot","strainer","cap","lane-rxn","tip","strip","lane","channel","library","sample"},0)),ROUNDUP(J7,0),ROUND(J7,2))</f>
        <v>2</v>
      </c>
      <c r="L7" s="91" t="n">
        <f aca="false">IFERROR(IF(OR(D7="",P7="",Q7="",Q7=0),"",IF(VLOOKUP(R7,Unit_Conversions!$A$5:$C$28,3,FALSE())=VLOOKUP(G7,Unit_Conversions!$A$5:$C$28,3,FALSE()),P7*VLOOKUP(G7,Unit_Conversions!$A$5:$C$28,2,FALSE())/(Q7*VLOOKUP(R7,Unit_Conversions!$A$5:$C$28,2,FALSE())),"")),"")</f>
        <v>0.7804</v>
      </c>
      <c r="M7" s="92" t="n">
        <f aca="false">IFERROR(F7*L7,"")</f>
        <v>0.09755</v>
      </c>
      <c r="N7" s="93" t="n">
        <f aca="false">IFERROR(J7*L7,"")</f>
        <v>0.85844</v>
      </c>
      <c r="O7" s="94" t="s">
        <v>994</v>
      </c>
      <c r="P7" s="1" t="n">
        <f aca="false">IFERROR(IF(LEFT(D7,1)="K",VLOOKUP(D7,Kit_Catalog!$A:$K,8,FALSE()),VLOOKUP(D7,Additional_Supply_Catalog!$A:$K,7,FALSE())),"")</f>
        <v>97.55</v>
      </c>
      <c r="Q7" s="1" t="n">
        <f aca="false">IFERROR(IF(LEFT(D7,1)="K",VLOOKUP(D7,Kit_Catalog!$A:$K,7,FALSE()),VLOOKUP(D7,Additional_Supply_Catalog!$A:$K,8,FALSE())),"")</f>
        <v>125</v>
      </c>
      <c r="R7" s="1" t="str">
        <f aca="false">IFERROR(IF(LEFT(D7,1)="K","rxn",VLOOKUP(D7,Additional_Supply_Catalog!$A:$K,9,FALSE())),"")</f>
        <v>strip</v>
      </c>
    </row>
    <row r="8" customFormat="false" ht="15" hidden="false" customHeight="true" outlineLevel="0" collapsed="false">
      <c r="A8" s="85" t="s">
        <v>988</v>
      </c>
      <c r="B8" s="85" t="s">
        <v>901</v>
      </c>
      <c r="C8" s="85" t="s">
        <v>995</v>
      </c>
      <c r="D8" s="85" t="s">
        <v>529</v>
      </c>
      <c r="E8" s="85" t="s">
        <v>22</v>
      </c>
      <c r="F8" s="86" t="n">
        <v>1</v>
      </c>
      <c r="G8" s="85" t="s">
        <v>534</v>
      </c>
      <c r="H8" s="87" t="n">
        <f aca="false">Inputs!$B$20</f>
        <v>0.1</v>
      </c>
      <c r="I8" s="88" t="n">
        <f aca="false">VLOOKUP(E8,Inputs!$D$5:$E$23,2,FALSE())</f>
        <v>8</v>
      </c>
      <c r="J8" s="89" t="n">
        <f aca="false">F8*I8*(1+H8)</f>
        <v>8.8</v>
      </c>
      <c r="K8" s="90" t="n">
        <f aca="false">IF(ISNUMBER(MATCH(G8,{"tube","each","plate","vial","kit","bottle","aliquot","strainer","cap","lane-rxn","tip","strip","lane","channel","library","sample"},0)),ROUNDUP(J8,0),ROUND(J8,2))</f>
        <v>9</v>
      </c>
      <c r="L8" s="91" t="n">
        <f aca="false">IFERROR(IF(OR(D8="",P8="",Q8="",Q8=0),"",IF(VLOOKUP(R8,Unit_Conversions!$A$5:$C$28,3,FALSE())=VLOOKUP(G8,Unit_Conversions!$A$5:$C$28,3,FALSE()),P8*VLOOKUP(G8,Unit_Conversions!$A$5:$C$28,2,FALSE())/(Q8*VLOOKUP(R8,Unit_Conversions!$A$5:$C$28,2,FALSE())),"")),"")</f>
        <v>0.03041015625</v>
      </c>
      <c r="M8" s="92" t="n">
        <f aca="false">IFERROR(F8*L8,"")</f>
        <v>0.03041015625</v>
      </c>
      <c r="N8" s="93" t="n">
        <f aca="false">IFERROR(J8*L8,"")</f>
        <v>0.267609375</v>
      </c>
      <c r="O8" s="94" t="s">
        <v>996</v>
      </c>
      <c r="P8" s="1" t="n">
        <f aca="false">IFERROR(IF(LEFT(D8,1)="K",VLOOKUP(D8,Kit_Catalog!$A:$K,8,FALSE()),VLOOKUP(D8,Additional_Supply_Catalog!$A:$K,7,FALSE())),"")</f>
        <v>46.71</v>
      </c>
      <c r="Q8" s="1" t="n">
        <f aca="false">IFERROR(IF(LEFT(D8,1)="K",VLOOKUP(D8,Kit_Catalog!$A:$K,7,FALSE()),VLOOKUP(D8,Additional_Supply_Catalog!$A:$K,8,FALSE())),"")</f>
        <v>1536</v>
      </c>
      <c r="R8" s="1" t="str">
        <f aca="false">IFERROR(IF(LEFT(D8,1)="K","rxn",VLOOKUP(D8,Additional_Supply_Catalog!$A:$K,9,FALSE())),"")</f>
        <v>tip</v>
      </c>
    </row>
    <row r="9" customFormat="false" ht="15" hidden="false" customHeight="true" outlineLevel="0" collapsed="false">
      <c r="A9" s="85" t="s">
        <v>988</v>
      </c>
      <c r="B9" s="85" t="s">
        <v>901</v>
      </c>
      <c r="C9" s="85" t="s">
        <v>997</v>
      </c>
      <c r="D9" s="85" t="s">
        <v>536</v>
      </c>
      <c r="E9" s="85" t="s">
        <v>22</v>
      </c>
      <c r="F9" s="86" t="n">
        <v>2</v>
      </c>
      <c r="G9" s="85" t="s">
        <v>534</v>
      </c>
      <c r="H9" s="87" t="n">
        <f aca="false">Inputs!$B$20</f>
        <v>0.1</v>
      </c>
      <c r="I9" s="88" t="n">
        <f aca="false">VLOOKUP(E9,Inputs!$D$5:$E$23,2,FALSE())</f>
        <v>8</v>
      </c>
      <c r="J9" s="89" t="n">
        <f aca="false">F9*I9*(1+H9)</f>
        <v>17.6</v>
      </c>
      <c r="K9" s="90" t="n">
        <f aca="false">IF(ISNUMBER(MATCH(G9,{"tube","each","plate","vial","kit","bottle","aliquot","strainer","cap","lane-rxn","tip","strip","lane","channel","library","sample"},0)),ROUNDUP(J9,0),ROUND(J9,2))</f>
        <v>18</v>
      </c>
      <c r="L9" s="91" t="n">
        <f aca="false">IFERROR(IF(OR(D9="",P9="",Q9="",Q9=0),"",IF(VLOOKUP(R9,Unit_Conversions!$A$5:$C$28,3,FALSE())=VLOOKUP(G9,Unit_Conversions!$A$5:$C$28,3,FALSE()),P9*VLOOKUP(G9,Unit_Conversions!$A$5:$C$28,2,FALSE())/(Q9*VLOOKUP(R9,Unit_Conversions!$A$5:$C$28,2,FALSE())),"")),"")</f>
        <v>0.0187916666666667</v>
      </c>
      <c r="M9" s="92" t="n">
        <f aca="false">IFERROR(F9*L9,"")</f>
        <v>0.0375833333333333</v>
      </c>
      <c r="N9" s="93" t="n">
        <f aca="false">IFERROR(J9*L9,"")</f>
        <v>0.330733333333333</v>
      </c>
      <c r="O9" s="94" t="s">
        <v>996</v>
      </c>
      <c r="P9" s="1" t="n">
        <f aca="false">IFERROR(IF(LEFT(D9,1)="K",VLOOKUP(D9,Kit_Catalog!$A:$K,8,FALSE()),VLOOKUP(D9,Additional_Supply_Catalog!$A:$K,7,FALSE())),"")</f>
        <v>180.4</v>
      </c>
      <c r="Q9" s="1" t="n">
        <f aca="false">IFERROR(IF(LEFT(D9,1)="K",VLOOKUP(D9,Kit_Catalog!$A:$K,7,FALSE()),VLOOKUP(D9,Additional_Supply_Catalog!$A:$K,8,FALSE())),"")</f>
        <v>9600</v>
      </c>
      <c r="R9" s="1" t="str">
        <f aca="false">IFERROR(IF(LEFT(D9,1)="K","rxn",VLOOKUP(D9,Additional_Supply_Catalog!$A:$K,9,FALSE())),"")</f>
        <v>tip</v>
      </c>
    </row>
    <row r="10" customFormat="false" ht="15" hidden="false" customHeight="true" outlineLevel="0" collapsed="false">
      <c r="A10" s="85" t="s">
        <v>988</v>
      </c>
      <c r="B10" s="85" t="s">
        <v>901</v>
      </c>
      <c r="C10" s="85" t="s">
        <v>998</v>
      </c>
      <c r="D10" s="85" t="s">
        <v>540</v>
      </c>
      <c r="E10" s="85" t="s">
        <v>22</v>
      </c>
      <c r="F10" s="86" t="n">
        <v>2</v>
      </c>
      <c r="G10" s="85" t="s">
        <v>534</v>
      </c>
      <c r="H10" s="87" t="n">
        <f aca="false">Inputs!$B$20</f>
        <v>0.1</v>
      </c>
      <c r="I10" s="88" t="n">
        <f aca="false">VLOOKUP(E10,Inputs!$D$5:$E$23,2,FALSE())</f>
        <v>8</v>
      </c>
      <c r="J10" s="89" t="n">
        <f aca="false">F10*I10*(1+H10)</f>
        <v>17.6</v>
      </c>
      <c r="K10" s="90" t="n">
        <f aca="false">IF(ISNUMBER(MATCH(G10,{"tube","each","plate","vial","kit","bottle","aliquot","strainer","cap","lane-rxn","tip","strip","lane","channel","library","sample"},0)),ROUNDUP(J10,0),ROUND(J10,2))</f>
        <v>18</v>
      </c>
      <c r="L10" s="91" t="n">
        <f aca="false">IFERROR(IF(OR(D10="",P10="",Q10="",Q10=0),"",IF(VLOOKUP(R10,Unit_Conversions!$A$5:$C$28,3,FALSE())=VLOOKUP(G10,Unit_Conversions!$A$5:$C$28,3,FALSE()),P10*VLOOKUP(G10,Unit_Conversions!$A$5:$C$28,2,FALSE())/(Q10*VLOOKUP(R10,Unit_Conversions!$A$5:$C$28,2,FALSE())),"")),"")</f>
        <v>0.0187916666666667</v>
      </c>
      <c r="M10" s="92" t="n">
        <f aca="false">IFERROR(F10*L10,"")</f>
        <v>0.0375833333333333</v>
      </c>
      <c r="N10" s="93" t="n">
        <f aca="false">IFERROR(J10*L10,"")</f>
        <v>0.330733333333333</v>
      </c>
      <c r="O10" s="94" t="s">
        <v>996</v>
      </c>
      <c r="P10" s="1" t="n">
        <f aca="false">IFERROR(IF(LEFT(D10,1)="K",VLOOKUP(D10,Kit_Catalog!$A:$K,8,FALSE()),VLOOKUP(D10,Additional_Supply_Catalog!$A:$K,7,FALSE())),"")</f>
        <v>180.4</v>
      </c>
      <c r="Q10" s="1" t="n">
        <f aca="false">IFERROR(IF(LEFT(D10,1)="K",VLOOKUP(D10,Kit_Catalog!$A:$K,7,FALSE()),VLOOKUP(D10,Additional_Supply_Catalog!$A:$K,8,FALSE())),"")</f>
        <v>9600</v>
      </c>
      <c r="R10" s="1" t="str">
        <f aca="false">IFERROR(IF(LEFT(D10,1)="K","rxn",VLOOKUP(D10,Additional_Supply_Catalog!$A:$K,9,FALSE())),"")</f>
        <v>tip</v>
      </c>
    </row>
    <row r="11" customFormat="false" ht="15" hidden="false" customHeight="true" outlineLevel="0" collapsed="false">
      <c r="A11" s="85" t="s">
        <v>988</v>
      </c>
      <c r="B11" s="85" t="s">
        <v>901</v>
      </c>
      <c r="C11" s="85" t="s">
        <v>999</v>
      </c>
      <c r="D11" s="85" t="s">
        <v>544</v>
      </c>
      <c r="E11" s="85" t="s">
        <v>22</v>
      </c>
      <c r="F11" s="86" t="n">
        <v>1</v>
      </c>
      <c r="G11" s="85" t="s">
        <v>548</v>
      </c>
      <c r="H11" s="87" t="n">
        <f aca="false">Inputs!$B$20</f>
        <v>0.1</v>
      </c>
      <c r="I11" s="88" t="n">
        <f aca="false">VLOOKUP(E11,Inputs!$D$5:$E$23,2,FALSE())</f>
        <v>8</v>
      </c>
      <c r="J11" s="89" t="n">
        <f aca="false">F11*I11*(1+H11)</f>
        <v>8.8</v>
      </c>
      <c r="K11" s="90" t="n">
        <f aca="false">IF(ISNUMBER(MATCH(G11,{"tube","each","plate","vial","kit","bottle","aliquot","strainer","cap","lane-rxn","tip","strip","lane","channel","library","sample"},0)),ROUNDUP(J11,0),ROUND(J11,2))</f>
        <v>9</v>
      </c>
      <c r="L11" s="91" t="n">
        <f aca="false">IFERROR(IF(OR(D11="",P11="",Q11="",Q11=0),"",IF(VLOOKUP(R11,Unit_Conversions!$A$5:$C$28,3,FALSE())=VLOOKUP(G11,Unit_Conversions!$A$5:$C$28,3,FALSE()),P11*VLOOKUP(G11,Unit_Conversions!$A$5:$C$28,2,FALSE())/(Q11*VLOOKUP(R11,Unit_Conversions!$A$5:$C$28,2,FALSE())),"")),"")</f>
        <v>0.17956</v>
      </c>
      <c r="M11" s="92" t="n">
        <f aca="false">IFERROR(F11*L11,"")</f>
        <v>0.17956</v>
      </c>
      <c r="N11" s="93" t="n">
        <f aca="false">IFERROR(J11*L11,"")</f>
        <v>1.580128</v>
      </c>
      <c r="O11" s="94" t="s">
        <v>996</v>
      </c>
      <c r="P11" s="1" t="n">
        <f aca="false">IFERROR(IF(LEFT(D11,1)="K",VLOOKUP(D11,Kit_Catalog!$A:$K,8,FALSE()),VLOOKUP(D11,Additional_Supply_Catalog!$A:$K,7,FALSE())),"")</f>
        <v>44.89</v>
      </c>
      <c r="Q11" s="1" t="n">
        <f aca="false">IFERROR(IF(LEFT(D11,1)="K",VLOOKUP(D11,Kit_Catalog!$A:$K,7,FALSE()),VLOOKUP(D11,Additional_Supply_Catalog!$A:$K,8,FALSE())),"")</f>
        <v>250</v>
      </c>
      <c r="R11" s="1" t="str">
        <f aca="false">IFERROR(IF(LEFT(D11,1)="K","rxn",VLOOKUP(D11,Additional_Supply_Catalog!$A:$K,9,FALSE())),"")</f>
        <v>tube</v>
      </c>
    </row>
    <row r="12" customFormat="false" ht="15" hidden="false" customHeight="true" outlineLevel="0" collapsed="false">
      <c r="A12" s="85" t="s">
        <v>988</v>
      </c>
      <c r="B12" s="85" t="s">
        <v>901</v>
      </c>
      <c r="C12" s="85" t="s">
        <v>335</v>
      </c>
      <c r="D12" s="85" t="s">
        <v>333</v>
      </c>
      <c r="E12" s="85" t="s">
        <v>22</v>
      </c>
      <c r="F12" s="86" t="n">
        <v>0.005</v>
      </c>
      <c r="G12" s="85" t="s">
        <v>337</v>
      </c>
      <c r="H12" s="87" t="n">
        <f aca="false">Inputs!$B$20</f>
        <v>0.1</v>
      </c>
      <c r="I12" s="88" t="n">
        <f aca="false">VLOOKUP(E12,Inputs!$D$5:$E$23,2,FALSE())</f>
        <v>8</v>
      </c>
      <c r="J12" s="89" t="n">
        <f aca="false">F12*I12*(1+H12)</f>
        <v>0.044</v>
      </c>
      <c r="K12" s="90" t="n">
        <f aca="false">IF(ISNUMBER(MATCH(G12,{"tube","each","plate","vial","kit","bottle","aliquot","strainer","cap","lane-rxn","tip","strip","lane","channel","library","sample"},0)),ROUNDUP(J12,0),ROUND(J12,2))</f>
        <v>0.04</v>
      </c>
      <c r="L12" s="91" t="n">
        <f aca="false">IFERROR(IF(OR(D12="",P12="",Q12="",Q12=0),"",IF(VLOOKUP(R12,Unit_Conversions!$A$5:$C$28,3,FALSE())=VLOOKUP(G12,Unit_Conversions!$A$5:$C$28,3,FALSE()),P12*VLOOKUP(G12,Unit_Conversions!$A$5:$C$28,2,FALSE())/(Q12*VLOOKUP(R12,Unit_Conversions!$A$5:$C$28,2,FALSE())),"")),"")</f>
        <v>0.02772</v>
      </c>
      <c r="M12" s="92" t="n">
        <f aca="false">IFERROR(F12*L12,"")</f>
        <v>0.0001386</v>
      </c>
      <c r="N12" s="93" t="n">
        <f aca="false">IFERROR(J12*L12,"")</f>
        <v>0.00121968</v>
      </c>
      <c r="O12" s="94" t="s">
        <v>1000</v>
      </c>
      <c r="P12" s="1" t="n">
        <f aca="false">IFERROR(IF(LEFT(D12,1)="K",VLOOKUP(D12,Kit_Catalog!$A:$K,8,FALSE()),VLOOKUP(D12,Additional_Supply_Catalog!$A:$K,7,FALSE())),"")</f>
        <v>13.86</v>
      </c>
      <c r="Q12" s="1" t="n">
        <f aca="false">IFERROR(IF(LEFT(D12,1)="K",VLOOKUP(D12,Kit_Catalog!$A:$K,7,FALSE()),VLOOKUP(D12,Additional_Supply_Catalog!$A:$K,8,FALSE())),"")</f>
        <v>500</v>
      </c>
      <c r="R12" s="1" t="str">
        <f aca="false">IFERROR(IF(LEFT(D12,1)="K","rxn",VLOOKUP(D12,Additional_Supply_Catalog!$A:$K,9,FALSE())),"")</f>
        <v>mL</v>
      </c>
    </row>
    <row r="13" customFormat="false" ht="15" hidden="false" customHeight="true" outlineLevel="0" collapsed="false">
      <c r="A13" s="85" t="s">
        <v>988</v>
      </c>
      <c r="B13" s="85" t="s">
        <v>901</v>
      </c>
      <c r="C13" s="85" t="s">
        <v>1001</v>
      </c>
      <c r="D13" s="85"/>
      <c r="E13" s="85" t="s">
        <v>22</v>
      </c>
      <c r="F13" s="86" t="n">
        <v>1</v>
      </c>
      <c r="G13" s="85" t="s">
        <v>373</v>
      </c>
      <c r="H13" s="87" t="n">
        <f aca="false">Inputs!$B$20</f>
        <v>0.1</v>
      </c>
      <c r="I13" s="88" t="n">
        <f aca="false">VLOOKUP(E13,Inputs!$D$5:$E$23,2,FALSE())</f>
        <v>8</v>
      </c>
      <c r="J13" s="89" t="n">
        <f aca="false">F13*I13*(1+H13)</f>
        <v>8.8</v>
      </c>
      <c r="K13" s="90" t="n">
        <f aca="false">IF(ISNUMBER(MATCH(G13,{"tube","each","plate","vial","kit","bottle","aliquot","strainer","cap","lane-rxn","tip","strip","lane","channel","library","sample"},0)),ROUNDUP(J13,0),ROUND(J13,2))</f>
        <v>9</v>
      </c>
      <c r="L13" s="91" t="str">
        <f aca="false">IFERROR(IF(OR(D13="",P13="",Q13="",Q13=0),"",IF(VLOOKUP(R13,Unit_Conversions!$A$5:$C$28,3,FALSE())=VLOOKUP(G13,Unit_Conversions!$A$5:$C$28,3,FALSE()),P13*VLOOKUP(G13,Unit_Conversions!$A$5:$C$28,2,FALSE())/(Q13*VLOOKUP(R13,Unit_Conversions!$A$5:$C$28,2,FALSE())),"")),"")</f>
        <v/>
      </c>
      <c r="M13" s="92" t="str">
        <f aca="false">IFERROR(F13*L13,"")</f>
        <v/>
      </c>
      <c r="N13" s="93" t="str">
        <f aca="false">IFERROR(J13*L13,"")</f>
        <v/>
      </c>
      <c r="O13" s="94" t="s">
        <v>996</v>
      </c>
      <c r="P13" s="1" t="str">
        <f aca="false">IFERROR(IF(LEFT(D13,1)="K",VLOOKUP(D13,Kit_Catalog!$A:$K,8,FALSE()),VLOOKUP(D13,Additional_Supply_Catalog!$A:$K,7,FALSE())),"")</f>
        <v/>
      </c>
      <c r="Q13" s="1" t="str">
        <f aca="false">IFERROR(IF(LEFT(D13,1)="K",VLOOKUP(D13,Kit_Catalog!$A:$K,7,FALSE()),VLOOKUP(D13,Additional_Supply_Catalog!$A:$K,8,FALSE())),"")</f>
        <v/>
      </c>
      <c r="R13" s="1" t="str">
        <f aca="false">IFERROR(IF(LEFT(D13,1)="K","rxn",VLOOKUP(D13,Additional_Supply_Catalog!$A:$K,9,FALSE())),"")</f>
        <v/>
      </c>
    </row>
    <row r="14" customFormat="false" ht="15" hidden="false" customHeight="true" outlineLevel="0" collapsed="false">
      <c r="A14" s="96" t="s">
        <v>1002</v>
      </c>
      <c r="B14" s="96" t="s">
        <v>901</v>
      </c>
      <c r="C14" s="96" t="s">
        <v>264</v>
      </c>
      <c r="D14" s="96" t="s">
        <v>261</v>
      </c>
      <c r="E14" s="96" t="s">
        <v>24</v>
      </c>
      <c r="F14" s="97" t="n">
        <v>1</v>
      </c>
      <c r="G14" s="96" t="s">
        <v>971</v>
      </c>
      <c r="H14" s="98" t="n">
        <f aca="false">Inputs!$B$20</f>
        <v>0.1</v>
      </c>
      <c r="I14" s="99" t="n">
        <f aca="false">VLOOKUP(E14,Inputs!$D$5:$E$23,2,FALSE())</f>
        <v>2</v>
      </c>
      <c r="J14" s="100" t="n">
        <f aca="false">F14*I14*(1+H14)</f>
        <v>2.2</v>
      </c>
      <c r="K14" s="101" t="n">
        <f aca="false">IF(ISNUMBER(MATCH(G14,{"tube","each","plate","vial","kit","bottle","aliquot","strainer","cap","lane-rxn","tip","strip","lane","channel","library","sample"},0)),ROUNDUP(J14,0),ROUND(J14,2))</f>
        <v>2.2</v>
      </c>
      <c r="L14" s="91" t="n">
        <f aca="false">IFERROR(IF(OR(D14="",P14="",Q14="",Q14=0),"",IF(VLOOKUP(R14,Unit_Conversions!$A$5:$C$28,3,FALSE())=VLOOKUP(G14,Unit_Conversions!$A$5:$C$28,3,FALSE()),P14*VLOOKUP(G14,Unit_Conversions!$A$5:$C$28,2,FALSE())/(Q14*VLOOKUP(R14,Unit_Conversions!$A$5:$C$28,2,FALSE())),"")),"")</f>
        <v>1562.5</v>
      </c>
      <c r="M14" s="92" t="n">
        <f aca="false">IFERROR(F14*L14,"")</f>
        <v>1562.5</v>
      </c>
      <c r="N14" s="93" t="n">
        <f aca="false">IFERROR(J14*L14,"")</f>
        <v>3437.5</v>
      </c>
      <c r="O14" s="102" t="s">
        <v>989</v>
      </c>
      <c r="P14" s="1" t="n">
        <f aca="false">IFERROR(IF(LEFT(D14,1)="K",VLOOKUP(D14,Kit_Catalog!$A:$K,8,FALSE()),VLOOKUP(D14,Additional_Supply_Catalog!$A:$K,7,FALSE())),"")</f>
        <v>25000</v>
      </c>
      <c r="Q14" s="1" t="n">
        <f aca="false">IFERROR(IF(LEFT(D14,1)="K",VLOOKUP(D14,Kit_Catalog!$A:$K,7,FALSE()),VLOOKUP(D14,Additional_Supply_Catalog!$A:$K,8,FALSE())),"")</f>
        <v>16</v>
      </c>
      <c r="R14" s="1" t="str">
        <f aca="false">IFERROR(IF(LEFT(D14,1)="K","rxn",VLOOKUP(D14,Additional_Supply_Catalog!$A:$K,9,FALSE())),"")</f>
        <v>rxn</v>
      </c>
    </row>
    <row r="15" customFormat="false" ht="15" hidden="false" customHeight="true" outlineLevel="0" collapsed="false">
      <c r="A15" s="96" t="s">
        <v>1002</v>
      </c>
      <c r="B15" s="96" t="s">
        <v>901</v>
      </c>
      <c r="C15" s="96" t="s">
        <v>268</v>
      </c>
      <c r="D15" s="96" t="s">
        <v>267</v>
      </c>
      <c r="E15" s="96" t="s">
        <v>24</v>
      </c>
      <c r="F15" s="97" t="n">
        <v>1</v>
      </c>
      <c r="G15" s="96" t="s">
        <v>971</v>
      </c>
      <c r="H15" s="98" t="n">
        <f aca="false">Inputs!$B$20</f>
        <v>0.1</v>
      </c>
      <c r="I15" s="99" t="n">
        <f aca="false">VLOOKUP(E15,Inputs!$D$5:$E$23,2,FALSE())</f>
        <v>2</v>
      </c>
      <c r="J15" s="100" t="n">
        <f aca="false">F15*I15*(1+H15)</f>
        <v>2.2</v>
      </c>
      <c r="K15" s="101" t="n">
        <f aca="false">IF(ISNUMBER(MATCH(G15,{"tube","each","plate","vial","kit","bottle","aliquot","strainer","cap","lane-rxn","tip","strip","lane","channel","library","sample"},0)),ROUNDUP(J15,0),ROUND(J15,2))</f>
        <v>2.2</v>
      </c>
      <c r="L15" s="91" t="n">
        <f aca="false">IFERROR(IF(OR(D15="",P15="",Q15="",Q15=0),"",IF(VLOOKUP(R15,Unit_Conversions!$A$5:$C$28,3,FALSE())=VLOOKUP(G15,Unit_Conversions!$A$5:$C$28,3,FALSE()),P15*VLOOKUP(G15,Unit_Conversions!$A$5:$C$28,2,FALSE())/(Q15*VLOOKUP(R15,Unit_Conversions!$A$5:$C$28,2,FALSE())),"")),"")</f>
        <v>37.5</v>
      </c>
      <c r="M15" s="92" t="n">
        <f aca="false">IFERROR(F15*L15,"")</f>
        <v>37.5</v>
      </c>
      <c r="N15" s="93" t="n">
        <f aca="false">IFERROR(J15*L15,"")</f>
        <v>82.5</v>
      </c>
      <c r="O15" s="102" t="s">
        <v>989</v>
      </c>
      <c r="P15" s="1" t="n">
        <f aca="false">IFERROR(IF(LEFT(D15,1)="K",VLOOKUP(D15,Kit_Catalog!$A:$K,8,FALSE()),VLOOKUP(D15,Additional_Supply_Catalog!$A:$K,7,FALSE())),"")</f>
        <v>1800</v>
      </c>
      <c r="Q15" s="1" t="n">
        <f aca="false">IFERROR(IF(LEFT(D15,1)="K",VLOOKUP(D15,Kit_Catalog!$A:$K,7,FALSE()),VLOOKUP(D15,Additional_Supply_Catalog!$A:$K,8,FALSE())),"")</f>
        <v>48</v>
      </c>
      <c r="R15" s="1" t="str">
        <f aca="false">IFERROR(IF(LEFT(D15,1)="K","rxn",VLOOKUP(D15,Additional_Supply_Catalog!$A:$K,9,FALSE())),"")</f>
        <v>rxn</v>
      </c>
    </row>
    <row r="16" customFormat="false" ht="15" hidden="false" customHeight="true" outlineLevel="0" collapsed="false">
      <c r="A16" s="96" t="s">
        <v>1002</v>
      </c>
      <c r="B16" s="96" t="s">
        <v>901</v>
      </c>
      <c r="C16" s="96" t="s">
        <v>276</v>
      </c>
      <c r="D16" s="96" t="s">
        <v>275</v>
      </c>
      <c r="E16" s="96" t="s">
        <v>24</v>
      </c>
      <c r="F16" s="97" t="n">
        <v>1</v>
      </c>
      <c r="G16" s="96" t="s">
        <v>971</v>
      </c>
      <c r="H16" s="98" t="n">
        <f aca="false">Inputs!$B$20</f>
        <v>0.1</v>
      </c>
      <c r="I16" s="99" t="n">
        <f aca="false">VLOOKUP(E16,Inputs!$D$5:$E$23,2,FALSE())</f>
        <v>2</v>
      </c>
      <c r="J16" s="100" t="n">
        <f aca="false">F16*I16*(1+H16)</f>
        <v>2.2</v>
      </c>
      <c r="K16" s="101" t="n">
        <f aca="false">IF(ISNUMBER(MATCH(G16,{"tube","each","plate","vial","kit","bottle","aliquot","strainer","cap","lane-rxn","tip","strip","lane","channel","library","sample"},0)),ROUNDUP(J16,0),ROUND(J16,2))</f>
        <v>2.2</v>
      </c>
      <c r="L16" s="91" t="n">
        <f aca="false">IFERROR(IF(OR(D16="",P16="",Q16="",Q16=0),"",IF(VLOOKUP(R16,Unit_Conversions!$A$5:$C$28,3,FALSE())=VLOOKUP(G16,Unit_Conversions!$A$5:$C$28,3,FALSE()),P16*VLOOKUP(G16,Unit_Conversions!$A$5:$C$28,2,FALSE())/(Q16*VLOOKUP(R16,Unit_Conversions!$A$5:$C$28,2,FALSE())),"")),"")</f>
        <v>10</v>
      </c>
      <c r="M16" s="92" t="n">
        <f aca="false">IFERROR(F16*L16,"")</f>
        <v>10</v>
      </c>
      <c r="N16" s="93" t="n">
        <f aca="false">IFERROR(J16*L16,"")</f>
        <v>22</v>
      </c>
      <c r="O16" s="102" t="s">
        <v>989</v>
      </c>
      <c r="P16" s="1" t="n">
        <f aca="false">IFERROR(IF(LEFT(D16,1)="K",VLOOKUP(D16,Kit_Catalog!$A:$K,8,FALSE()),VLOOKUP(D16,Additional_Supply_Catalog!$A:$K,7,FALSE())),"")</f>
        <v>960</v>
      </c>
      <c r="Q16" s="1" t="n">
        <f aca="false">IFERROR(IF(LEFT(D16,1)="K",VLOOKUP(D16,Kit_Catalog!$A:$K,7,FALSE()),VLOOKUP(D16,Additional_Supply_Catalog!$A:$K,8,FALSE())),"")</f>
        <v>96</v>
      </c>
      <c r="R16" s="1" t="str">
        <f aca="false">IFERROR(IF(LEFT(D16,1)="K","rxn",VLOOKUP(D16,Additional_Supply_Catalog!$A:$K,9,FALSE())),"")</f>
        <v>rxn</v>
      </c>
    </row>
    <row r="17" customFormat="false" ht="15" hidden="false" customHeight="true" outlineLevel="0" collapsed="false">
      <c r="A17" s="85" t="s">
        <v>1003</v>
      </c>
      <c r="B17" s="85" t="s">
        <v>901</v>
      </c>
      <c r="C17" s="85" t="s">
        <v>188</v>
      </c>
      <c r="D17" s="85" t="s">
        <v>186</v>
      </c>
      <c r="E17" s="85" t="s">
        <v>25</v>
      </c>
      <c r="F17" s="86" t="n">
        <v>1</v>
      </c>
      <c r="G17" s="85" t="s">
        <v>971</v>
      </c>
      <c r="H17" s="87" t="n">
        <f aca="false">Inputs!$B$20</f>
        <v>0.1</v>
      </c>
      <c r="I17" s="88" t="n">
        <f aca="false">VLOOKUP(E17,Inputs!$D$5:$E$23,2,FALSE())</f>
        <v>8</v>
      </c>
      <c r="J17" s="89" t="n">
        <f aca="false">F17*I17*(1+H17)</f>
        <v>8.8</v>
      </c>
      <c r="K17" s="90" t="n">
        <f aca="false">IF(ISNUMBER(MATCH(G17,{"tube","each","plate","vial","kit","bottle","aliquot","strainer","cap","lane-rxn","tip","strip","lane","channel","library","sample"},0)),ROUNDUP(J17,0),ROUND(J17,2))</f>
        <v>8.8</v>
      </c>
      <c r="L17" s="91" t="n">
        <f aca="false">IFERROR(IF(OR(D17="",P17="",Q17="",Q17=0),"",IF(VLOOKUP(R17,Unit_Conversions!$A$5:$C$28,3,FALSE())=VLOOKUP(G17,Unit_Conversions!$A$5:$C$28,3,FALSE()),P17*VLOOKUP(G17,Unit_Conversions!$A$5:$C$28,2,FALSE())/(Q17*VLOOKUP(R17,Unit_Conversions!$A$5:$C$28,2,FALSE())),"")),"")</f>
        <v>78.125</v>
      </c>
      <c r="M17" s="92" t="n">
        <f aca="false">IFERROR(F17*L17,"")</f>
        <v>78.125</v>
      </c>
      <c r="N17" s="93" t="n">
        <f aca="false">IFERROR(J17*L17,"")</f>
        <v>687.5</v>
      </c>
      <c r="O17" s="94" t="s">
        <v>989</v>
      </c>
      <c r="P17" s="1" t="n">
        <f aca="false">IFERROR(IF(LEFT(D17,1)="K",VLOOKUP(D17,Kit_Catalog!$A:$K,8,FALSE()),VLOOKUP(D17,Additional_Supply_Catalog!$A:$K,7,FALSE())),"")</f>
        <v>1250</v>
      </c>
      <c r="Q17" s="1" t="n">
        <f aca="false">IFERROR(IF(LEFT(D17,1)="K",VLOOKUP(D17,Kit_Catalog!$A:$K,7,FALSE()),VLOOKUP(D17,Additional_Supply_Catalog!$A:$K,8,FALSE())),"")</f>
        <v>16</v>
      </c>
      <c r="R17" s="1" t="str">
        <f aca="false">IFERROR(IF(LEFT(D17,1)="K","rxn",VLOOKUP(D17,Additional_Supply_Catalog!$A:$K,9,FALSE())),"")</f>
        <v>rxn</v>
      </c>
    </row>
    <row r="18" customFormat="false" ht="15" hidden="false" customHeight="true" outlineLevel="0" collapsed="false">
      <c r="A18" s="85" t="s">
        <v>1003</v>
      </c>
      <c r="B18" s="85" t="s">
        <v>901</v>
      </c>
      <c r="C18" s="85" t="s">
        <v>192</v>
      </c>
      <c r="D18" s="85" t="s">
        <v>191</v>
      </c>
      <c r="E18" s="85" t="s">
        <v>25</v>
      </c>
      <c r="F18" s="86" t="n">
        <v>1</v>
      </c>
      <c r="G18" s="85" t="s">
        <v>971</v>
      </c>
      <c r="H18" s="87" t="n">
        <f aca="false">Inputs!$B$20</f>
        <v>0.1</v>
      </c>
      <c r="I18" s="88" t="n">
        <f aca="false">VLOOKUP(E18,Inputs!$D$5:$E$23,2,FALSE())</f>
        <v>8</v>
      </c>
      <c r="J18" s="89" t="n">
        <f aca="false">F18*I18*(1+H18)</f>
        <v>8.8</v>
      </c>
      <c r="K18" s="90" t="n">
        <f aca="false">IF(ISNUMBER(MATCH(G18,{"tube","each","plate","vial","kit","bottle","aliquot","strainer","cap","lane-rxn","tip","strip","lane","channel","library","sample"},0)),ROUNDUP(J18,0),ROUND(J18,2))</f>
        <v>8.8</v>
      </c>
      <c r="L18" s="91" t="n">
        <f aca="false">IFERROR(IF(OR(D18="",P18="",Q18="",Q18=0),"",IF(VLOOKUP(R18,Unit_Conversions!$A$5:$C$28,3,FALSE())=VLOOKUP(G18,Unit_Conversions!$A$5:$C$28,3,FALSE()),P18*VLOOKUP(G18,Unit_Conversions!$A$5:$C$28,2,FALSE())/(Q18*VLOOKUP(R18,Unit_Conversions!$A$5:$C$28,2,FALSE())),"")),"")</f>
        <v>10</v>
      </c>
      <c r="M18" s="92" t="n">
        <f aca="false">IFERROR(F18*L18,"")</f>
        <v>10</v>
      </c>
      <c r="N18" s="93" t="n">
        <f aca="false">IFERROR(J18*L18,"")</f>
        <v>88</v>
      </c>
      <c r="O18" s="94" t="s">
        <v>989</v>
      </c>
      <c r="P18" s="1" t="n">
        <f aca="false">IFERROR(IF(LEFT(D18,1)="K",VLOOKUP(D18,Kit_Catalog!$A:$K,8,FALSE()),VLOOKUP(D18,Additional_Supply_Catalog!$A:$K,7,FALSE())),"")</f>
        <v>960</v>
      </c>
      <c r="Q18" s="1" t="n">
        <f aca="false">IFERROR(IF(LEFT(D18,1)="K",VLOOKUP(D18,Kit_Catalog!$A:$K,7,FALSE()),VLOOKUP(D18,Additional_Supply_Catalog!$A:$K,8,FALSE())),"")</f>
        <v>96</v>
      </c>
      <c r="R18" s="1" t="str">
        <f aca="false">IFERROR(IF(LEFT(D18,1)="K","rxn",VLOOKUP(D18,Additional_Supply_Catalog!$A:$K,9,FALSE())),"")</f>
        <v>rxn</v>
      </c>
    </row>
    <row r="19" customFormat="false" ht="15" hidden="false" customHeight="true" outlineLevel="0" collapsed="false">
      <c r="A19" s="85" t="s">
        <v>1003</v>
      </c>
      <c r="B19" s="85" t="s">
        <v>901</v>
      </c>
      <c r="C19" s="85" t="s">
        <v>354</v>
      </c>
      <c r="D19" s="85" t="s">
        <v>353</v>
      </c>
      <c r="E19" s="85" t="s">
        <v>25</v>
      </c>
      <c r="F19" s="86" t="n">
        <v>0.1415</v>
      </c>
      <c r="G19" s="85" t="s">
        <v>337</v>
      </c>
      <c r="H19" s="87" t="n">
        <f aca="false">Inputs!$B$20</f>
        <v>0.1</v>
      </c>
      <c r="I19" s="88" t="n">
        <f aca="false">VLOOKUP(E19,Inputs!$D$5:$E$23,2,FALSE())</f>
        <v>8</v>
      </c>
      <c r="J19" s="89" t="n">
        <f aca="false">F19*I19*(1+H19)</f>
        <v>1.2452</v>
      </c>
      <c r="K19" s="90" t="n">
        <f aca="false">IF(ISNUMBER(MATCH(G19,{"tube","each","plate","vial","kit","bottle","aliquot","strainer","cap","lane-rxn","tip","strip","lane","channel","library","sample"},0)),ROUNDUP(J19,0),ROUND(J19,2))</f>
        <v>1.25</v>
      </c>
      <c r="L19" s="91" t="n">
        <f aca="false">IFERROR(IF(OR(D19="",P19="",Q19="",Q19=0),"",IF(VLOOKUP(R19,Unit_Conversions!$A$5:$C$28,3,FALSE())=VLOOKUP(G19,Unit_Conversions!$A$5:$C$28,3,FALSE()),P19*VLOOKUP(G19,Unit_Conversions!$A$5:$C$28,2,FALSE())/(Q19*VLOOKUP(R19,Unit_Conversions!$A$5:$C$28,2,FALSE())),"")),"")</f>
        <v>0.1996</v>
      </c>
      <c r="M19" s="92" t="n">
        <f aca="false">IFERROR(F19*L19,"")</f>
        <v>0.0282434</v>
      </c>
      <c r="N19" s="93" t="n">
        <f aca="false">IFERROR(J19*L19,"")</f>
        <v>0.24854192</v>
      </c>
      <c r="O19" s="94" t="s">
        <v>990</v>
      </c>
      <c r="P19" s="1" t="n">
        <f aca="false">IFERROR(IF(LEFT(D19,1)="K",VLOOKUP(D19,Kit_Catalog!$A:$K,8,FALSE()),VLOOKUP(D19,Additional_Supply_Catalog!$A:$K,7,FALSE())),"")</f>
        <v>49.9</v>
      </c>
      <c r="Q19" s="1" t="n">
        <f aca="false">IFERROR(IF(LEFT(D19,1)="K",VLOOKUP(D19,Kit_Catalog!$A:$K,7,FALSE()),VLOOKUP(D19,Additional_Supply_Catalog!$A:$K,8,FALSE())),"")</f>
        <v>250</v>
      </c>
      <c r="R19" s="1" t="str">
        <f aca="false">IFERROR(IF(LEFT(D19,1)="K","rxn",VLOOKUP(D19,Additional_Supply_Catalog!$A:$K,9,FALSE())),"")</f>
        <v>mL</v>
      </c>
    </row>
    <row r="20" customFormat="false" ht="15" hidden="false" customHeight="true" outlineLevel="0" collapsed="false">
      <c r="A20" s="85" t="s">
        <v>1003</v>
      </c>
      <c r="B20" s="85" t="s">
        <v>901</v>
      </c>
      <c r="C20" s="85" t="s">
        <v>991</v>
      </c>
      <c r="D20" s="85" t="s">
        <v>346</v>
      </c>
      <c r="E20" s="85" t="s">
        <v>25</v>
      </c>
      <c r="F20" s="86" t="n">
        <v>1.05</v>
      </c>
      <c r="G20" s="85" t="s">
        <v>337</v>
      </c>
      <c r="H20" s="87" t="n">
        <f aca="false">Inputs!$B$20</f>
        <v>0.1</v>
      </c>
      <c r="I20" s="88" t="n">
        <f aca="false">VLOOKUP(E20,Inputs!$D$5:$E$23,2,FALSE())</f>
        <v>8</v>
      </c>
      <c r="J20" s="89" t="n">
        <f aca="false">F20*I20*(1+H20)</f>
        <v>9.24</v>
      </c>
      <c r="K20" s="90" t="n">
        <f aca="false">IF(ISNUMBER(MATCH(G20,{"tube","each","plate","vial","kit","bottle","aliquot","strainer","cap","lane-rxn","tip","strip","lane","channel","library","sample"},0)),ROUNDUP(J20,0),ROUND(J20,2))</f>
        <v>9.24</v>
      </c>
      <c r="L20" s="91" t="n">
        <f aca="false">IFERROR(IF(OR(D20="",P20="",Q20="",Q20=0),"",IF(VLOOKUP(R20,Unit_Conversions!$A$5:$C$28,3,FALSE())=VLOOKUP(G20,Unit_Conversions!$A$5:$C$28,3,FALSE()),P20*VLOOKUP(G20,Unit_Conversions!$A$5:$C$28,2,FALSE())/(Q20*VLOOKUP(R20,Unit_Conversions!$A$5:$C$28,2,FALSE())),"")),"")</f>
        <v>0.218</v>
      </c>
      <c r="M20" s="92" t="n">
        <f aca="false">IFERROR(F20*L20,"")</f>
        <v>0.2289</v>
      </c>
      <c r="N20" s="93" t="n">
        <f aca="false">IFERROR(J20*L20,"")</f>
        <v>2.01432</v>
      </c>
      <c r="O20" s="94" t="s">
        <v>990</v>
      </c>
      <c r="P20" s="1" t="n">
        <f aca="false">IFERROR(IF(LEFT(D20,1)="K",VLOOKUP(D20,Kit_Catalog!$A:$K,8,FALSE()),VLOOKUP(D20,Additional_Supply_Catalog!$A:$K,7,FALSE())),"")</f>
        <v>109</v>
      </c>
      <c r="Q20" s="1" t="n">
        <f aca="false">IFERROR(IF(LEFT(D20,1)="K",VLOOKUP(D20,Kit_Catalog!$A:$K,7,FALSE()),VLOOKUP(D20,Additional_Supply_Catalog!$A:$K,8,FALSE())),"")</f>
        <v>500</v>
      </c>
      <c r="R20" s="1" t="str">
        <f aca="false">IFERROR(IF(LEFT(D20,1)="K","rxn",VLOOKUP(D20,Additional_Supply_Catalog!$A:$K,9,FALSE())),"")</f>
        <v>mL</v>
      </c>
    </row>
    <row r="21" customFormat="false" ht="15" hidden="false" customHeight="true" outlineLevel="0" collapsed="false">
      <c r="A21" s="85" t="s">
        <v>1003</v>
      </c>
      <c r="B21" s="85" t="s">
        <v>901</v>
      </c>
      <c r="C21" s="85" t="s">
        <v>992</v>
      </c>
      <c r="D21" s="85" t="s">
        <v>360</v>
      </c>
      <c r="E21" s="85" t="s">
        <v>25</v>
      </c>
      <c r="F21" s="86" t="n">
        <v>0.2</v>
      </c>
      <c r="G21" s="85" t="s">
        <v>337</v>
      </c>
      <c r="H21" s="87" t="n">
        <f aca="false">Inputs!$B$20</f>
        <v>0.1</v>
      </c>
      <c r="I21" s="88" t="n">
        <f aca="false">VLOOKUP(E21,Inputs!$D$5:$E$23,2,FALSE())</f>
        <v>8</v>
      </c>
      <c r="J21" s="89" t="n">
        <f aca="false">F21*I21*(1+H21)</f>
        <v>1.76</v>
      </c>
      <c r="K21" s="90" t="n">
        <f aca="false">IF(ISNUMBER(MATCH(G21,{"tube","each","plate","vial","kit","bottle","aliquot","strainer","cap","lane-rxn","tip","strip","lane","channel","library","sample"},0)),ROUNDUP(J21,0),ROUND(J21,2))</f>
        <v>1.76</v>
      </c>
      <c r="L21" s="91" t="n">
        <f aca="false">IFERROR(IF(OR(D21="",P21="",Q21="",Q21=0),"",IF(VLOOKUP(R21,Unit_Conversions!$A$5:$C$28,3,FALSE())=VLOOKUP(G21,Unit_Conversions!$A$5:$C$28,3,FALSE()),P21*VLOOKUP(G21,Unit_Conversions!$A$5:$C$28,2,FALSE())/(Q21*VLOOKUP(R21,Unit_Conversions!$A$5:$C$28,2,FALSE())),"")),"")</f>
        <v>27.265</v>
      </c>
      <c r="M21" s="92" t="n">
        <f aca="false">IFERROR(F21*L21,"")</f>
        <v>5.453</v>
      </c>
      <c r="N21" s="93" t="n">
        <f aca="false">IFERROR(J21*L21,"")</f>
        <v>47.9864</v>
      </c>
      <c r="O21" s="94" t="s">
        <v>990</v>
      </c>
      <c r="P21" s="1" t="n">
        <f aca="false">IFERROR(IF(LEFT(D21,1)="K",VLOOKUP(D21,Kit_Catalog!$A:$K,8,FALSE()),VLOOKUP(D21,Additional_Supply_Catalog!$A:$K,7,FALSE())),"")</f>
        <v>1635.9</v>
      </c>
      <c r="Q21" s="1" t="n">
        <f aca="false">IFERROR(IF(LEFT(D21,1)="K",VLOOKUP(D21,Kit_Catalog!$A:$K,7,FALSE()),VLOOKUP(D21,Additional_Supply_Catalog!$A:$K,8,FALSE())),"")</f>
        <v>60</v>
      </c>
      <c r="R21" s="1" t="str">
        <f aca="false">IFERROR(IF(LEFT(D21,1)="K","rxn",VLOOKUP(D21,Additional_Supply_Catalog!$A:$K,9,FALSE())),"")</f>
        <v>mL</v>
      </c>
    </row>
    <row r="22" customFormat="false" ht="15" hidden="false" customHeight="true" outlineLevel="0" collapsed="false">
      <c r="A22" s="85" t="s">
        <v>1003</v>
      </c>
      <c r="B22" s="85" t="s">
        <v>901</v>
      </c>
      <c r="C22" s="85" t="s">
        <v>1004</v>
      </c>
      <c r="D22" s="85" t="s">
        <v>375</v>
      </c>
      <c r="E22" s="85" t="s">
        <v>25</v>
      </c>
      <c r="F22" s="86" t="n">
        <v>1</v>
      </c>
      <c r="G22" s="85" t="s">
        <v>1005</v>
      </c>
      <c r="H22" s="87" t="n">
        <f aca="false">Inputs!$B$20</f>
        <v>0.1</v>
      </c>
      <c r="I22" s="88" t="n">
        <f aca="false">VLOOKUP(E22,Inputs!$D$5:$E$23,2,FALSE())</f>
        <v>8</v>
      </c>
      <c r="J22" s="89" t="n">
        <f aca="false">F22*I22*(1+H22)</f>
        <v>8.8</v>
      </c>
      <c r="K22" s="90" t="n">
        <f aca="false">IF(ISNUMBER(MATCH(G22,{"tube","each","plate","vial","kit","bottle","aliquot","strainer","cap","lane-rxn","tip","strip","lane","channel","library","sample"},0)),ROUNDUP(J22,0),ROUND(J22,2))</f>
        <v>9</v>
      </c>
      <c r="L22" s="91" t="str">
        <f aca="false">IFERROR(IF(OR(D22="",P22="",Q22="",Q22=0),"",IF(VLOOKUP(R22,Unit_Conversions!$A$5:$C$28,3,FALSE())=VLOOKUP(G22,Unit_Conversions!$A$5:$C$28,3,FALSE()),P22*VLOOKUP(G22,Unit_Conversions!$A$5:$C$28,2,FALSE())/(Q22*VLOOKUP(R22,Unit_Conversions!$A$5:$C$28,2,FALSE())),"")),"")</f>
        <v/>
      </c>
      <c r="M22" s="92" t="str">
        <f aca="false">IFERROR(F22*L22,"")</f>
        <v/>
      </c>
      <c r="N22" s="93" t="str">
        <f aca="false">IFERROR(J22*L22,"")</f>
        <v/>
      </c>
      <c r="O22" s="94" t="s">
        <v>996</v>
      </c>
      <c r="P22" s="1" t="n">
        <f aca="false">IFERROR(IF(LEFT(D22,1)="K",VLOOKUP(D22,Kit_Catalog!$A:$K,8,FALSE()),VLOOKUP(D22,Additional_Supply_Catalog!$A:$K,7,FALSE())),"")</f>
        <v>606.25</v>
      </c>
      <c r="Q22" s="1" t="n">
        <f aca="false">IFERROR(IF(LEFT(D22,1)="K",VLOOKUP(D22,Kit_Catalog!$A:$K,7,FALSE()),VLOOKUP(D22,Additional_Supply_Catalog!$A:$K,8,FALSE())),"")</f>
        <v>1</v>
      </c>
      <c r="R22" s="1" t="str">
        <f aca="false">IFERROR(IF(LEFT(D22,1)="K","rxn",VLOOKUP(D22,Additional_Supply_Catalog!$A:$K,9,FALSE())),"")</f>
        <v>kit</v>
      </c>
    </row>
    <row r="23" customFormat="false" ht="15" hidden="false" customHeight="true" outlineLevel="0" collapsed="false">
      <c r="A23" s="85" t="s">
        <v>1003</v>
      </c>
      <c r="B23" s="85" t="s">
        <v>901</v>
      </c>
      <c r="C23" s="85" t="s">
        <v>1006</v>
      </c>
      <c r="D23" s="85" t="s">
        <v>367</v>
      </c>
      <c r="E23" s="85" t="s">
        <v>25</v>
      </c>
      <c r="F23" s="86" t="n">
        <v>1</v>
      </c>
      <c r="G23" s="85" t="s">
        <v>1005</v>
      </c>
      <c r="H23" s="87" t="n">
        <f aca="false">Inputs!$B$20</f>
        <v>0.1</v>
      </c>
      <c r="I23" s="88" t="n">
        <f aca="false">VLOOKUP(E23,Inputs!$D$5:$E$23,2,FALSE())</f>
        <v>8</v>
      </c>
      <c r="J23" s="89" t="n">
        <f aca="false">F23*I23*(1+H23)</f>
        <v>8.8</v>
      </c>
      <c r="K23" s="90" t="n">
        <f aca="false">IF(ISNUMBER(MATCH(G23,{"tube","each","plate","vial","kit","bottle","aliquot","strainer","cap","lane-rxn","tip","strip","lane","channel","library","sample"},0)),ROUNDUP(J23,0),ROUND(J23,2))</f>
        <v>9</v>
      </c>
      <c r="L23" s="91" t="n">
        <f aca="false">IFERROR(IF(OR(D23="",P23="",Q23="",Q23=0),"",IF(VLOOKUP(R23,Unit_Conversions!$A$5:$C$28,3,FALSE())=VLOOKUP(G23,Unit_Conversions!$A$5:$C$28,3,FALSE()),P23*VLOOKUP(G23,Unit_Conversions!$A$5:$C$28,2,FALSE())/(Q23*VLOOKUP(R23,Unit_Conversions!$A$5:$C$28,2,FALSE())),"")),"")</f>
        <v>0.8533</v>
      </c>
      <c r="M23" s="92" t="n">
        <f aca="false">IFERROR(F23*L23,"")</f>
        <v>0.8533</v>
      </c>
      <c r="N23" s="93" t="n">
        <f aca="false">IFERROR(J23*L23,"")</f>
        <v>7.50904</v>
      </c>
      <c r="O23" s="94" t="s">
        <v>990</v>
      </c>
      <c r="P23" s="1" t="n">
        <f aca="false">IFERROR(IF(LEFT(D23,1)="K",VLOOKUP(D23,Kit_Catalog!$A:$K,8,FALSE()),VLOOKUP(D23,Additional_Supply_Catalog!$A:$K,7,FALSE())),"")</f>
        <v>426.65</v>
      </c>
      <c r="Q23" s="1" t="n">
        <f aca="false">IFERROR(IF(LEFT(D23,1)="K",VLOOKUP(D23,Kit_Catalog!$A:$K,7,FALSE()),VLOOKUP(D23,Additional_Supply_Catalog!$A:$K,8,FALSE())),"")</f>
        <v>500</v>
      </c>
      <c r="R23" s="1" t="str">
        <f aca="false">IFERROR(IF(LEFT(D23,1)="K","rxn",VLOOKUP(D23,Additional_Supply_Catalog!$A:$K,9,FALSE())),"")</f>
        <v>sample</v>
      </c>
    </row>
    <row r="24" customFormat="false" ht="15" hidden="false" customHeight="true" outlineLevel="0" collapsed="false">
      <c r="A24" s="85" t="s">
        <v>1003</v>
      </c>
      <c r="B24" s="85" t="s">
        <v>901</v>
      </c>
      <c r="C24" s="85" t="s">
        <v>1007</v>
      </c>
      <c r="D24" s="85" t="s">
        <v>579</v>
      </c>
      <c r="E24" s="85" t="s">
        <v>25</v>
      </c>
      <c r="F24" s="86" t="n">
        <v>1</v>
      </c>
      <c r="G24" s="85" t="s">
        <v>548</v>
      </c>
      <c r="H24" s="87" t="n">
        <f aca="false">Inputs!$B$20</f>
        <v>0.1</v>
      </c>
      <c r="I24" s="88" t="n">
        <f aca="false">VLOOKUP(E24,Inputs!$D$5:$E$23,2,FALSE())</f>
        <v>8</v>
      </c>
      <c r="J24" s="89" t="n">
        <f aca="false">F24*I24*(1+H24)</f>
        <v>8.8</v>
      </c>
      <c r="K24" s="90" t="n">
        <f aca="false">IF(ISNUMBER(MATCH(G24,{"tube","each","plate","vial","kit","bottle","aliquot","strainer","cap","lane-rxn","tip","strip","lane","channel","library","sample"},0)),ROUNDUP(J24,0),ROUND(J24,2))</f>
        <v>9</v>
      </c>
      <c r="L24" s="91" t="n">
        <f aca="false">IFERROR(IF(OR(D24="",P24="",Q24="",Q24=0),"",IF(VLOOKUP(R24,Unit_Conversions!$A$5:$C$28,3,FALSE())=VLOOKUP(G24,Unit_Conversions!$A$5:$C$28,3,FALSE()),P24*VLOOKUP(G24,Unit_Conversions!$A$5:$C$28,2,FALSE())/(Q24*VLOOKUP(R24,Unit_Conversions!$A$5:$C$28,2,FALSE())),"")),"")</f>
        <v>0.27</v>
      </c>
      <c r="M24" s="92" t="n">
        <f aca="false">IFERROR(F24*L24,"")</f>
        <v>0.27</v>
      </c>
      <c r="N24" s="93" t="n">
        <f aca="false">IFERROR(J24*L24,"")</f>
        <v>2.376</v>
      </c>
      <c r="O24" s="94" t="s">
        <v>996</v>
      </c>
      <c r="P24" s="1" t="n">
        <f aca="false">IFERROR(IF(LEFT(D24,1)="K",VLOOKUP(D24,Kit_Catalog!$A:$K,8,FALSE()),VLOOKUP(D24,Additional_Supply_Catalog!$A:$K,7,FALSE())),"")</f>
        <v>135</v>
      </c>
      <c r="Q24" s="1" t="n">
        <f aca="false">IFERROR(IF(LEFT(D24,1)="K",VLOOKUP(D24,Kit_Catalog!$A:$K,7,FALSE()),VLOOKUP(D24,Additional_Supply_Catalog!$A:$K,8,FALSE())),"")</f>
        <v>500</v>
      </c>
      <c r="R24" s="1" t="str">
        <f aca="false">IFERROR(IF(LEFT(D24,1)="K","rxn",VLOOKUP(D24,Additional_Supply_Catalog!$A:$K,9,FALSE())),"")</f>
        <v>tube</v>
      </c>
    </row>
    <row r="25" customFormat="false" ht="15" hidden="false" customHeight="true" outlineLevel="0" collapsed="false">
      <c r="A25" s="85" t="s">
        <v>1003</v>
      </c>
      <c r="B25" s="85" t="s">
        <v>901</v>
      </c>
      <c r="C25" s="85" t="s">
        <v>993</v>
      </c>
      <c r="D25" s="85" t="s">
        <v>557</v>
      </c>
      <c r="E25" s="85" t="s">
        <v>25</v>
      </c>
      <c r="F25" s="86" t="n">
        <v>0.125</v>
      </c>
      <c r="G25" s="85" t="s">
        <v>562</v>
      </c>
      <c r="H25" s="87" t="n">
        <f aca="false">Inputs!$B$20</f>
        <v>0.1</v>
      </c>
      <c r="I25" s="88" t="n">
        <f aca="false">VLOOKUP(E25,Inputs!$D$5:$E$23,2,FALSE())</f>
        <v>8</v>
      </c>
      <c r="J25" s="89" t="n">
        <f aca="false">F25*I25*(1+H25)</f>
        <v>1.1</v>
      </c>
      <c r="K25" s="90" t="n">
        <f aca="false">IF(ISNUMBER(MATCH(G25,{"tube","each","plate","vial","kit","bottle","aliquot","strainer","cap","lane-rxn","tip","strip","lane","channel","library","sample"},0)),ROUNDUP(J25,0),ROUND(J25,2))</f>
        <v>2</v>
      </c>
      <c r="L25" s="91" t="n">
        <f aca="false">IFERROR(IF(OR(D25="",P25="",Q25="",Q25=0),"",IF(VLOOKUP(R25,Unit_Conversions!$A$5:$C$28,3,FALSE())=VLOOKUP(G25,Unit_Conversions!$A$5:$C$28,3,FALSE()),P25*VLOOKUP(G25,Unit_Conversions!$A$5:$C$28,2,FALSE())/(Q25*VLOOKUP(R25,Unit_Conversions!$A$5:$C$28,2,FALSE())),"")),"")</f>
        <v>0.7804</v>
      </c>
      <c r="M25" s="92" t="n">
        <f aca="false">IFERROR(F25*L25,"")</f>
        <v>0.09755</v>
      </c>
      <c r="N25" s="93" t="n">
        <f aca="false">IFERROR(J25*L25,"")</f>
        <v>0.85844</v>
      </c>
      <c r="O25" s="94" t="s">
        <v>994</v>
      </c>
      <c r="P25" s="1" t="n">
        <f aca="false">IFERROR(IF(LEFT(D25,1)="K",VLOOKUP(D25,Kit_Catalog!$A:$K,8,FALSE()),VLOOKUP(D25,Additional_Supply_Catalog!$A:$K,7,FALSE())),"")</f>
        <v>97.55</v>
      </c>
      <c r="Q25" s="1" t="n">
        <f aca="false">IFERROR(IF(LEFT(D25,1)="K",VLOOKUP(D25,Kit_Catalog!$A:$K,7,FALSE()),VLOOKUP(D25,Additional_Supply_Catalog!$A:$K,8,FALSE())),"")</f>
        <v>125</v>
      </c>
      <c r="R25" s="1" t="str">
        <f aca="false">IFERROR(IF(LEFT(D25,1)="K","rxn",VLOOKUP(D25,Additional_Supply_Catalog!$A:$K,9,FALSE())),"")</f>
        <v>strip</v>
      </c>
    </row>
    <row r="26" customFormat="false" ht="15" hidden="false" customHeight="true" outlineLevel="0" collapsed="false">
      <c r="A26" s="85" t="s">
        <v>1003</v>
      </c>
      <c r="B26" s="85" t="s">
        <v>901</v>
      </c>
      <c r="C26" s="85" t="s">
        <v>997</v>
      </c>
      <c r="D26" s="85" t="s">
        <v>536</v>
      </c>
      <c r="E26" s="85" t="s">
        <v>25</v>
      </c>
      <c r="F26" s="86" t="n">
        <v>4</v>
      </c>
      <c r="G26" s="85" t="s">
        <v>534</v>
      </c>
      <c r="H26" s="87" t="n">
        <f aca="false">Inputs!$B$20</f>
        <v>0.1</v>
      </c>
      <c r="I26" s="88" t="n">
        <f aca="false">VLOOKUP(E26,Inputs!$D$5:$E$23,2,FALSE())</f>
        <v>8</v>
      </c>
      <c r="J26" s="89" t="n">
        <f aca="false">F26*I26*(1+H26)</f>
        <v>35.2</v>
      </c>
      <c r="K26" s="90" t="n">
        <f aca="false">IF(ISNUMBER(MATCH(G26,{"tube","each","plate","vial","kit","bottle","aliquot","strainer","cap","lane-rxn","tip","strip","lane","channel","library","sample"},0)),ROUNDUP(J26,0),ROUND(J26,2))</f>
        <v>36</v>
      </c>
      <c r="L26" s="91" t="n">
        <f aca="false">IFERROR(IF(OR(D26="",P26="",Q26="",Q26=0),"",IF(VLOOKUP(R26,Unit_Conversions!$A$5:$C$28,3,FALSE())=VLOOKUP(G26,Unit_Conversions!$A$5:$C$28,3,FALSE()),P26*VLOOKUP(G26,Unit_Conversions!$A$5:$C$28,2,FALSE())/(Q26*VLOOKUP(R26,Unit_Conversions!$A$5:$C$28,2,FALSE())),"")),"")</f>
        <v>0.0187916666666667</v>
      </c>
      <c r="M26" s="92" t="n">
        <f aca="false">IFERROR(F26*L26,"")</f>
        <v>0.0751666666666667</v>
      </c>
      <c r="N26" s="93" t="n">
        <f aca="false">IFERROR(J26*L26,"")</f>
        <v>0.661466666666667</v>
      </c>
      <c r="O26" s="94" t="s">
        <v>996</v>
      </c>
      <c r="P26" s="1" t="n">
        <f aca="false">IFERROR(IF(LEFT(D26,1)="K",VLOOKUP(D26,Kit_Catalog!$A:$K,8,FALSE()),VLOOKUP(D26,Additional_Supply_Catalog!$A:$K,7,FALSE())),"")</f>
        <v>180.4</v>
      </c>
      <c r="Q26" s="1" t="n">
        <f aca="false">IFERROR(IF(LEFT(D26,1)="K",VLOOKUP(D26,Kit_Catalog!$A:$K,7,FALSE()),VLOOKUP(D26,Additional_Supply_Catalog!$A:$K,8,FALSE())),"")</f>
        <v>9600</v>
      </c>
      <c r="R26" s="1" t="str">
        <f aca="false">IFERROR(IF(LEFT(D26,1)="K","rxn",VLOOKUP(D26,Additional_Supply_Catalog!$A:$K,9,FALSE())),"")</f>
        <v>tip</v>
      </c>
    </row>
    <row r="27" customFormat="false" ht="15" hidden="false" customHeight="true" outlineLevel="0" collapsed="false">
      <c r="A27" s="85" t="s">
        <v>1003</v>
      </c>
      <c r="B27" s="85" t="s">
        <v>901</v>
      </c>
      <c r="C27" s="85" t="s">
        <v>998</v>
      </c>
      <c r="D27" s="85" t="s">
        <v>540</v>
      </c>
      <c r="E27" s="85" t="s">
        <v>25</v>
      </c>
      <c r="F27" s="86" t="n">
        <v>1</v>
      </c>
      <c r="G27" s="85" t="s">
        <v>534</v>
      </c>
      <c r="H27" s="87" t="n">
        <f aca="false">Inputs!$B$20</f>
        <v>0.1</v>
      </c>
      <c r="I27" s="88" t="n">
        <f aca="false">VLOOKUP(E27,Inputs!$D$5:$E$23,2,FALSE())</f>
        <v>8</v>
      </c>
      <c r="J27" s="89" t="n">
        <f aca="false">F27*I27*(1+H27)</f>
        <v>8.8</v>
      </c>
      <c r="K27" s="90" t="n">
        <f aca="false">IF(ISNUMBER(MATCH(G27,{"tube","each","plate","vial","kit","bottle","aliquot","strainer","cap","lane-rxn","tip","strip","lane","channel","library","sample"},0)),ROUNDUP(J27,0),ROUND(J27,2))</f>
        <v>9</v>
      </c>
      <c r="L27" s="91" t="n">
        <f aca="false">IFERROR(IF(OR(D27="",P27="",Q27="",Q27=0),"",IF(VLOOKUP(R27,Unit_Conversions!$A$5:$C$28,3,FALSE())=VLOOKUP(G27,Unit_Conversions!$A$5:$C$28,3,FALSE()),P27*VLOOKUP(G27,Unit_Conversions!$A$5:$C$28,2,FALSE())/(Q27*VLOOKUP(R27,Unit_Conversions!$A$5:$C$28,2,FALSE())),"")),"")</f>
        <v>0.0187916666666667</v>
      </c>
      <c r="M27" s="92" t="n">
        <f aca="false">IFERROR(F27*L27,"")</f>
        <v>0.0187916666666667</v>
      </c>
      <c r="N27" s="93" t="n">
        <f aca="false">IFERROR(J27*L27,"")</f>
        <v>0.165366666666667</v>
      </c>
      <c r="O27" s="94" t="s">
        <v>996</v>
      </c>
      <c r="P27" s="1" t="n">
        <f aca="false">IFERROR(IF(LEFT(D27,1)="K",VLOOKUP(D27,Kit_Catalog!$A:$K,8,FALSE()),VLOOKUP(D27,Additional_Supply_Catalog!$A:$K,7,FALSE())),"")</f>
        <v>180.4</v>
      </c>
      <c r="Q27" s="1" t="n">
        <f aca="false">IFERROR(IF(LEFT(D27,1)="K",VLOOKUP(D27,Kit_Catalog!$A:$K,7,FALSE()),VLOOKUP(D27,Additional_Supply_Catalog!$A:$K,8,FALSE())),"")</f>
        <v>9600</v>
      </c>
      <c r="R27" s="1" t="str">
        <f aca="false">IFERROR(IF(LEFT(D27,1)="K","rxn",VLOOKUP(D27,Additional_Supply_Catalog!$A:$K,9,FALSE())),"")</f>
        <v>tip</v>
      </c>
    </row>
    <row r="28" customFormat="false" ht="15" hidden="false" customHeight="true" outlineLevel="0" collapsed="false">
      <c r="A28" s="85" t="s">
        <v>1003</v>
      </c>
      <c r="B28" s="85" t="s">
        <v>901</v>
      </c>
      <c r="C28" s="85" t="s">
        <v>999</v>
      </c>
      <c r="D28" s="85" t="s">
        <v>544</v>
      </c>
      <c r="E28" s="85" t="s">
        <v>25</v>
      </c>
      <c r="F28" s="86" t="n">
        <v>1</v>
      </c>
      <c r="G28" s="85" t="s">
        <v>548</v>
      </c>
      <c r="H28" s="87" t="n">
        <f aca="false">Inputs!$B$20</f>
        <v>0.1</v>
      </c>
      <c r="I28" s="88" t="n">
        <f aca="false">VLOOKUP(E28,Inputs!$D$5:$E$23,2,FALSE())</f>
        <v>8</v>
      </c>
      <c r="J28" s="89" t="n">
        <f aca="false">F28*I28*(1+H28)</f>
        <v>8.8</v>
      </c>
      <c r="K28" s="90" t="n">
        <f aca="false">IF(ISNUMBER(MATCH(G28,{"tube","each","plate","vial","kit","bottle","aliquot","strainer","cap","lane-rxn","tip","strip","lane","channel","library","sample"},0)),ROUNDUP(J28,0),ROUND(J28,2))</f>
        <v>9</v>
      </c>
      <c r="L28" s="91" t="n">
        <f aca="false">IFERROR(IF(OR(D28="",P28="",Q28="",Q28=0),"",IF(VLOOKUP(R28,Unit_Conversions!$A$5:$C$28,3,FALSE())=VLOOKUP(G28,Unit_Conversions!$A$5:$C$28,3,FALSE()),P28*VLOOKUP(G28,Unit_Conversions!$A$5:$C$28,2,FALSE())/(Q28*VLOOKUP(R28,Unit_Conversions!$A$5:$C$28,2,FALSE())),"")),"")</f>
        <v>0.17956</v>
      </c>
      <c r="M28" s="92" t="n">
        <f aca="false">IFERROR(F28*L28,"")</f>
        <v>0.17956</v>
      </c>
      <c r="N28" s="93" t="n">
        <f aca="false">IFERROR(J28*L28,"")</f>
        <v>1.580128</v>
      </c>
      <c r="O28" s="94" t="s">
        <v>996</v>
      </c>
      <c r="P28" s="1" t="n">
        <f aca="false">IFERROR(IF(LEFT(D28,1)="K",VLOOKUP(D28,Kit_Catalog!$A:$K,8,FALSE()),VLOOKUP(D28,Additional_Supply_Catalog!$A:$K,7,FALSE())),"")</f>
        <v>44.89</v>
      </c>
      <c r="Q28" s="1" t="n">
        <f aca="false">IFERROR(IF(LEFT(D28,1)="K",VLOOKUP(D28,Kit_Catalog!$A:$K,7,FALSE()),VLOOKUP(D28,Additional_Supply_Catalog!$A:$K,8,FALSE())),"")</f>
        <v>250</v>
      </c>
      <c r="R28" s="1" t="str">
        <f aca="false">IFERROR(IF(LEFT(D28,1)="K","rxn",VLOOKUP(D28,Additional_Supply_Catalog!$A:$K,9,FALSE())),"")</f>
        <v>tube</v>
      </c>
    </row>
    <row r="29" customFormat="false" ht="15" hidden="false" customHeight="true" outlineLevel="0" collapsed="false">
      <c r="A29" s="85" t="s">
        <v>1003</v>
      </c>
      <c r="B29" s="85" t="s">
        <v>901</v>
      </c>
      <c r="C29" s="85" t="s">
        <v>1008</v>
      </c>
      <c r="D29" s="85" t="s">
        <v>388</v>
      </c>
      <c r="E29" s="85" t="s">
        <v>25</v>
      </c>
      <c r="F29" s="86" t="n">
        <v>1</v>
      </c>
      <c r="G29" s="85" t="s">
        <v>1005</v>
      </c>
      <c r="H29" s="87" t="n">
        <f aca="false">Inputs!$B$20</f>
        <v>0.1</v>
      </c>
      <c r="I29" s="88" t="n">
        <f aca="false">VLOOKUP(E29,Inputs!$D$5:$E$23,2,FALSE())</f>
        <v>8</v>
      </c>
      <c r="J29" s="89" t="n">
        <f aca="false">F29*I29*(1+H29)</f>
        <v>8.8</v>
      </c>
      <c r="K29" s="90" t="n">
        <f aca="false">IF(ISNUMBER(MATCH(G29,{"tube","each","plate","vial","kit","bottle","aliquot","strainer","cap","lane-rxn","tip","strip","lane","channel","library","sample"},0)),ROUNDUP(J29,0),ROUND(J29,2))</f>
        <v>9</v>
      </c>
      <c r="L29" s="91" t="str">
        <f aca="false">IFERROR(IF(OR(D29="",P29="",Q29="",Q29=0),"",IF(VLOOKUP(R29,Unit_Conversions!$A$5:$C$28,3,FALSE())=VLOOKUP(G29,Unit_Conversions!$A$5:$C$28,3,FALSE()),P29*VLOOKUP(G29,Unit_Conversions!$A$5:$C$28,2,FALSE())/(Q29*VLOOKUP(R29,Unit_Conversions!$A$5:$C$28,2,FALSE())),"")),"")</f>
        <v/>
      </c>
      <c r="M29" s="92" t="str">
        <f aca="false">IFERROR(F29*L29,"")</f>
        <v/>
      </c>
      <c r="N29" s="93" t="str">
        <f aca="false">IFERROR(J29*L29,"")</f>
        <v/>
      </c>
      <c r="O29" s="94" t="s">
        <v>1000</v>
      </c>
      <c r="P29" s="1" t="n">
        <f aca="false">IFERROR(IF(LEFT(D29,1)="K",VLOOKUP(D29,Kit_Catalog!$A:$K,8,FALSE()),VLOOKUP(D29,Additional_Supply_Catalog!$A:$K,7,FALSE())),"")</f>
        <v>0</v>
      </c>
      <c r="Q29" s="1" t="n">
        <f aca="false">IFERROR(IF(LEFT(D29,1)="K",VLOOKUP(D29,Kit_Catalog!$A:$K,7,FALSE()),VLOOKUP(D29,Additional_Supply_Catalog!$A:$K,8,FALSE())),"")</f>
        <v>0</v>
      </c>
      <c r="R29" s="1" t="n">
        <f aca="false">IFERROR(IF(LEFT(D29,1)="K","rxn",VLOOKUP(D29,Additional_Supply_Catalog!$A:$K,9,FALSE())),"")</f>
        <v>0</v>
      </c>
    </row>
    <row r="30" customFormat="false" ht="15" hidden="false" customHeight="true" outlineLevel="0" collapsed="false">
      <c r="A30" s="96" t="s">
        <v>1009</v>
      </c>
      <c r="B30" s="96" t="s">
        <v>901</v>
      </c>
      <c r="C30" s="96" t="s">
        <v>188</v>
      </c>
      <c r="D30" s="96" t="s">
        <v>186</v>
      </c>
      <c r="E30" s="96" t="s">
        <v>27</v>
      </c>
      <c r="F30" s="97" t="n">
        <v>1</v>
      </c>
      <c r="G30" s="96" t="s">
        <v>971</v>
      </c>
      <c r="H30" s="98" t="n">
        <f aca="false">Inputs!$B$20</f>
        <v>0.1</v>
      </c>
      <c r="I30" s="99" t="n">
        <f aca="false">VLOOKUP(E30,Inputs!$D$5:$E$23,2,FALSE())</f>
        <v>8</v>
      </c>
      <c r="J30" s="100" t="n">
        <f aca="false">F30*I30*(1+H30)</f>
        <v>8.8</v>
      </c>
      <c r="K30" s="101" t="n">
        <f aca="false">IF(ISNUMBER(MATCH(G30,{"tube","each","plate","vial","kit","bottle","aliquot","strainer","cap","lane-rxn","tip","strip","lane","channel","library","sample"},0)),ROUNDUP(J30,0),ROUND(J30,2))</f>
        <v>8.8</v>
      </c>
      <c r="L30" s="91" t="n">
        <f aca="false">IFERROR(IF(OR(D30="",P30="",Q30="",Q30=0),"",IF(VLOOKUP(R30,Unit_Conversions!$A$5:$C$28,3,FALSE())=VLOOKUP(G30,Unit_Conversions!$A$5:$C$28,3,FALSE()),P30*VLOOKUP(G30,Unit_Conversions!$A$5:$C$28,2,FALSE())/(Q30*VLOOKUP(R30,Unit_Conversions!$A$5:$C$28,2,FALSE())),"")),"")</f>
        <v>78.125</v>
      </c>
      <c r="M30" s="92" t="n">
        <f aca="false">IFERROR(F30*L30,"")</f>
        <v>78.125</v>
      </c>
      <c r="N30" s="93" t="n">
        <f aca="false">IFERROR(J30*L30,"")</f>
        <v>687.5</v>
      </c>
      <c r="O30" s="102" t="s">
        <v>989</v>
      </c>
      <c r="P30" s="1" t="n">
        <f aca="false">IFERROR(IF(LEFT(D30,1)="K",VLOOKUP(D30,Kit_Catalog!$A:$K,8,FALSE()),VLOOKUP(D30,Additional_Supply_Catalog!$A:$K,7,FALSE())),"")</f>
        <v>1250</v>
      </c>
      <c r="Q30" s="1" t="n">
        <f aca="false">IFERROR(IF(LEFT(D30,1)="K",VLOOKUP(D30,Kit_Catalog!$A:$K,7,FALSE()),VLOOKUP(D30,Additional_Supply_Catalog!$A:$K,8,FALSE())),"")</f>
        <v>16</v>
      </c>
      <c r="R30" s="1" t="str">
        <f aca="false">IFERROR(IF(LEFT(D30,1)="K","rxn",VLOOKUP(D30,Additional_Supply_Catalog!$A:$K,9,FALSE())),"")</f>
        <v>rxn</v>
      </c>
    </row>
    <row r="31" customFormat="false" ht="15" hidden="false" customHeight="true" outlineLevel="0" collapsed="false">
      <c r="A31" s="96" t="s">
        <v>1009</v>
      </c>
      <c r="B31" s="96" t="s">
        <v>901</v>
      </c>
      <c r="C31" s="96" t="s">
        <v>192</v>
      </c>
      <c r="D31" s="96" t="s">
        <v>191</v>
      </c>
      <c r="E31" s="96" t="s">
        <v>27</v>
      </c>
      <c r="F31" s="97" t="n">
        <v>1</v>
      </c>
      <c r="G31" s="96" t="s">
        <v>971</v>
      </c>
      <c r="H31" s="98" t="n">
        <f aca="false">Inputs!$B$20</f>
        <v>0.1</v>
      </c>
      <c r="I31" s="99" t="n">
        <f aca="false">VLOOKUP(E31,Inputs!$D$5:$E$23,2,FALSE())</f>
        <v>8</v>
      </c>
      <c r="J31" s="100" t="n">
        <f aca="false">F31*I31*(1+H31)</f>
        <v>8.8</v>
      </c>
      <c r="K31" s="101" t="n">
        <f aca="false">IF(ISNUMBER(MATCH(G31,{"tube","each","plate","vial","kit","bottle","aliquot","strainer","cap","lane-rxn","tip","strip","lane","channel","library","sample"},0)),ROUNDUP(J31,0),ROUND(J31,2))</f>
        <v>8.8</v>
      </c>
      <c r="L31" s="91" t="n">
        <f aca="false">IFERROR(IF(OR(D31="",P31="",Q31="",Q31=0),"",IF(VLOOKUP(R31,Unit_Conversions!$A$5:$C$28,3,FALSE())=VLOOKUP(G31,Unit_Conversions!$A$5:$C$28,3,FALSE()),P31*VLOOKUP(G31,Unit_Conversions!$A$5:$C$28,2,FALSE())/(Q31*VLOOKUP(R31,Unit_Conversions!$A$5:$C$28,2,FALSE())),"")),"")</f>
        <v>10</v>
      </c>
      <c r="M31" s="92" t="n">
        <f aca="false">IFERROR(F31*L31,"")</f>
        <v>10</v>
      </c>
      <c r="N31" s="93" t="n">
        <f aca="false">IFERROR(J31*L31,"")</f>
        <v>88</v>
      </c>
      <c r="O31" s="102" t="s">
        <v>989</v>
      </c>
      <c r="P31" s="1" t="n">
        <f aca="false">IFERROR(IF(LEFT(D31,1)="K",VLOOKUP(D31,Kit_Catalog!$A:$K,8,FALSE()),VLOOKUP(D31,Additional_Supply_Catalog!$A:$K,7,FALSE())),"")</f>
        <v>960</v>
      </c>
      <c r="Q31" s="1" t="n">
        <f aca="false">IFERROR(IF(LEFT(D31,1)="K",VLOOKUP(D31,Kit_Catalog!$A:$K,7,FALSE()),VLOOKUP(D31,Additional_Supply_Catalog!$A:$K,8,FALSE())),"")</f>
        <v>96</v>
      </c>
      <c r="R31" s="1" t="str">
        <f aca="false">IFERROR(IF(LEFT(D31,1)="K","rxn",VLOOKUP(D31,Additional_Supply_Catalog!$A:$K,9,FALSE())),"")</f>
        <v>rxn</v>
      </c>
    </row>
    <row r="32" customFormat="false" ht="15" hidden="false" customHeight="true" outlineLevel="0" collapsed="false">
      <c r="A32" s="96" t="s">
        <v>1009</v>
      </c>
      <c r="B32" s="96" t="s">
        <v>901</v>
      </c>
      <c r="C32" s="96" t="s">
        <v>197</v>
      </c>
      <c r="D32" s="96" t="s">
        <v>195</v>
      </c>
      <c r="E32" s="96" t="s">
        <v>27</v>
      </c>
      <c r="F32" s="97" t="n">
        <v>1</v>
      </c>
      <c r="G32" s="96" t="s">
        <v>971</v>
      </c>
      <c r="H32" s="98" t="n">
        <f aca="false">Inputs!$B$20</f>
        <v>0.1</v>
      </c>
      <c r="I32" s="99" t="n">
        <f aca="false">VLOOKUP(E32,Inputs!$D$5:$E$23,2,FALSE())</f>
        <v>8</v>
      </c>
      <c r="J32" s="100" t="n">
        <f aca="false">F32*I32*(1+H32)</f>
        <v>8.8</v>
      </c>
      <c r="K32" s="101" t="n">
        <f aca="false">IF(ISNUMBER(MATCH(G32,{"tube","each","plate","vial","kit","bottle","aliquot","strainer","cap","lane-rxn","tip","strip","lane","channel","library","sample"},0)),ROUNDUP(J32,0),ROUND(J32,2))</f>
        <v>8.8</v>
      </c>
      <c r="L32" s="91" t="n">
        <f aca="false">IFERROR(IF(OR(D32="",P32="",Q32="",Q32=0),"",IF(VLOOKUP(R32,Unit_Conversions!$A$5:$C$28,3,FALSE())=VLOOKUP(G32,Unit_Conversions!$A$5:$C$28,3,FALSE()),P32*VLOOKUP(G32,Unit_Conversions!$A$5:$C$28,2,FALSE())/(Q32*VLOOKUP(R32,Unit_Conversions!$A$5:$C$28,2,FALSE())),"")),"")</f>
        <v>22.5</v>
      </c>
      <c r="M32" s="92" t="n">
        <f aca="false">IFERROR(F32*L32,"")</f>
        <v>22.5</v>
      </c>
      <c r="N32" s="93" t="n">
        <f aca="false">IFERROR(J32*L32,"")</f>
        <v>198</v>
      </c>
      <c r="O32" s="102" t="s">
        <v>989</v>
      </c>
      <c r="P32" s="1" t="n">
        <f aca="false">IFERROR(IF(LEFT(D32,1)="K",VLOOKUP(D32,Kit_Catalog!$A:$K,8,FALSE()),VLOOKUP(D32,Additional_Supply_Catalog!$A:$K,7,FALSE())),"")</f>
        <v>360</v>
      </c>
      <c r="Q32" s="1" t="n">
        <f aca="false">IFERROR(IF(LEFT(D32,1)="K",VLOOKUP(D32,Kit_Catalog!$A:$K,7,FALSE()),VLOOKUP(D32,Additional_Supply_Catalog!$A:$K,8,FALSE())),"")</f>
        <v>16</v>
      </c>
      <c r="R32" s="1" t="str">
        <f aca="false">IFERROR(IF(LEFT(D32,1)="K","rxn",VLOOKUP(D32,Additional_Supply_Catalog!$A:$K,9,FALSE())),"")</f>
        <v>rxn</v>
      </c>
    </row>
    <row r="33" customFormat="false" ht="15" hidden="false" customHeight="true" outlineLevel="0" collapsed="false">
      <c r="A33" s="96" t="s">
        <v>1009</v>
      </c>
      <c r="B33" s="96" t="s">
        <v>901</v>
      </c>
      <c r="C33" s="96" t="s">
        <v>201</v>
      </c>
      <c r="D33" s="96" t="s">
        <v>200</v>
      </c>
      <c r="E33" s="96" t="s">
        <v>27</v>
      </c>
      <c r="F33" s="97" t="n">
        <v>1</v>
      </c>
      <c r="G33" s="96" t="s">
        <v>971</v>
      </c>
      <c r="H33" s="98" t="n">
        <f aca="false">Inputs!$B$20</f>
        <v>0.1</v>
      </c>
      <c r="I33" s="99" t="n">
        <f aca="false">VLOOKUP(E33,Inputs!$D$5:$E$23,2,FALSE())</f>
        <v>8</v>
      </c>
      <c r="J33" s="100" t="n">
        <f aca="false">F33*I33*(1+H33)</f>
        <v>8.8</v>
      </c>
      <c r="K33" s="101" t="n">
        <f aca="false">IF(ISNUMBER(MATCH(G33,{"tube","each","plate","vial","kit","bottle","aliquot","strainer","cap","lane-rxn","tip","strip","lane","channel","library","sample"},0)),ROUNDUP(J33,0),ROUND(J33,2))</f>
        <v>8.8</v>
      </c>
      <c r="L33" s="91" t="n">
        <f aca="false">IFERROR(IF(OR(D33="",P33="",Q33="",Q33=0),"",IF(VLOOKUP(R33,Unit_Conversions!$A$5:$C$28,3,FALSE())=VLOOKUP(G33,Unit_Conversions!$A$5:$C$28,3,FALSE()),P33*VLOOKUP(G33,Unit_Conversions!$A$5:$C$28,2,FALSE())/(Q33*VLOOKUP(R33,Unit_Conversions!$A$5:$C$28,2,FALSE())),"")),"")</f>
        <v>22.5</v>
      </c>
      <c r="M33" s="92" t="n">
        <f aca="false">IFERROR(F33*L33,"")</f>
        <v>22.5</v>
      </c>
      <c r="N33" s="93" t="n">
        <f aca="false">IFERROR(J33*L33,"")</f>
        <v>198</v>
      </c>
      <c r="O33" s="102" t="s">
        <v>989</v>
      </c>
      <c r="P33" s="1" t="n">
        <f aca="false">IFERROR(IF(LEFT(D33,1)="K",VLOOKUP(D33,Kit_Catalog!$A:$K,8,FALSE()),VLOOKUP(D33,Additional_Supply_Catalog!$A:$K,7,FALSE())),"")</f>
        <v>360</v>
      </c>
      <c r="Q33" s="1" t="n">
        <f aca="false">IFERROR(IF(LEFT(D33,1)="K",VLOOKUP(D33,Kit_Catalog!$A:$K,7,FALSE()),VLOOKUP(D33,Additional_Supply_Catalog!$A:$K,8,FALSE())),"")</f>
        <v>16</v>
      </c>
      <c r="R33" s="1" t="str">
        <f aca="false">IFERROR(IF(LEFT(D33,1)="K","rxn",VLOOKUP(D33,Additional_Supply_Catalog!$A:$K,9,FALSE())),"")</f>
        <v>rxn</v>
      </c>
    </row>
    <row r="34" customFormat="false" ht="15" hidden="false" customHeight="true" outlineLevel="0" collapsed="false">
      <c r="A34" s="96" t="s">
        <v>1009</v>
      </c>
      <c r="B34" s="96" t="s">
        <v>901</v>
      </c>
      <c r="C34" s="96" t="s">
        <v>354</v>
      </c>
      <c r="D34" s="96" t="s">
        <v>353</v>
      </c>
      <c r="E34" s="96" t="s">
        <v>27</v>
      </c>
      <c r="F34" s="97" t="n">
        <v>0.167</v>
      </c>
      <c r="G34" s="96" t="s">
        <v>337</v>
      </c>
      <c r="H34" s="98" t="n">
        <f aca="false">Inputs!$B$20</f>
        <v>0.1</v>
      </c>
      <c r="I34" s="99" t="n">
        <f aca="false">VLOOKUP(E34,Inputs!$D$5:$E$23,2,FALSE())</f>
        <v>8</v>
      </c>
      <c r="J34" s="100" t="n">
        <f aca="false">F34*I34*(1+H34)</f>
        <v>1.4696</v>
      </c>
      <c r="K34" s="101" t="n">
        <f aca="false">IF(ISNUMBER(MATCH(G34,{"tube","each","plate","vial","kit","bottle","aliquot","strainer","cap","lane-rxn","tip","strip","lane","channel","library","sample"},0)),ROUNDUP(J34,0),ROUND(J34,2))</f>
        <v>1.47</v>
      </c>
      <c r="L34" s="91" t="n">
        <f aca="false">IFERROR(IF(OR(D34="",P34="",Q34="",Q34=0),"",IF(VLOOKUP(R34,Unit_Conversions!$A$5:$C$28,3,FALSE())=VLOOKUP(G34,Unit_Conversions!$A$5:$C$28,3,FALSE()),P34*VLOOKUP(G34,Unit_Conversions!$A$5:$C$28,2,FALSE())/(Q34*VLOOKUP(R34,Unit_Conversions!$A$5:$C$28,2,FALSE())),"")),"")</f>
        <v>0.1996</v>
      </c>
      <c r="M34" s="92" t="n">
        <f aca="false">IFERROR(F34*L34,"")</f>
        <v>0.0333332</v>
      </c>
      <c r="N34" s="93" t="n">
        <f aca="false">IFERROR(J34*L34,"")</f>
        <v>0.29333216</v>
      </c>
      <c r="O34" s="102" t="s">
        <v>990</v>
      </c>
      <c r="P34" s="1" t="n">
        <f aca="false">IFERROR(IF(LEFT(D34,1)="K",VLOOKUP(D34,Kit_Catalog!$A:$K,8,FALSE()),VLOOKUP(D34,Additional_Supply_Catalog!$A:$K,7,FALSE())),"")</f>
        <v>49.9</v>
      </c>
      <c r="Q34" s="1" t="n">
        <f aca="false">IFERROR(IF(LEFT(D34,1)="K",VLOOKUP(D34,Kit_Catalog!$A:$K,7,FALSE()),VLOOKUP(D34,Additional_Supply_Catalog!$A:$K,8,FALSE())),"")</f>
        <v>250</v>
      </c>
      <c r="R34" s="1" t="str">
        <f aca="false">IFERROR(IF(LEFT(D34,1)="K","rxn",VLOOKUP(D34,Additional_Supply_Catalog!$A:$K,9,FALSE())),"")</f>
        <v>mL</v>
      </c>
    </row>
    <row r="35" customFormat="false" ht="15" hidden="false" customHeight="true" outlineLevel="0" collapsed="false">
      <c r="A35" s="96" t="s">
        <v>1009</v>
      </c>
      <c r="B35" s="96" t="s">
        <v>901</v>
      </c>
      <c r="C35" s="96" t="s">
        <v>991</v>
      </c>
      <c r="D35" s="96" t="s">
        <v>346</v>
      </c>
      <c r="E35" s="96" t="s">
        <v>27</v>
      </c>
      <c r="F35" s="97" t="n">
        <v>1.6</v>
      </c>
      <c r="G35" s="96" t="s">
        <v>337</v>
      </c>
      <c r="H35" s="98" t="n">
        <f aca="false">Inputs!$B$20</f>
        <v>0.1</v>
      </c>
      <c r="I35" s="99" t="n">
        <f aca="false">VLOOKUP(E35,Inputs!$D$5:$E$23,2,FALSE())</f>
        <v>8</v>
      </c>
      <c r="J35" s="100" t="n">
        <f aca="false">F35*I35*(1+H35)</f>
        <v>14.08</v>
      </c>
      <c r="K35" s="101" t="n">
        <f aca="false">IF(ISNUMBER(MATCH(G35,{"tube","each","plate","vial","kit","bottle","aliquot","strainer","cap","lane-rxn","tip","strip","lane","channel","library","sample"},0)),ROUNDUP(J35,0),ROUND(J35,2))</f>
        <v>14.08</v>
      </c>
      <c r="L35" s="91" t="n">
        <f aca="false">IFERROR(IF(OR(D35="",P35="",Q35="",Q35=0),"",IF(VLOOKUP(R35,Unit_Conversions!$A$5:$C$28,3,FALSE())=VLOOKUP(G35,Unit_Conversions!$A$5:$C$28,3,FALSE()),P35*VLOOKUP(G35,Unit_Conversions!$A$5:$C$28,2,FALSE())/(Q35*VLOOKUP(R35,Unit_Conversions!$A$5:$C$28,2,FALSE())),"")),"")</f>
        <v>0.218</v>
      </c>
      <c r="M35" s="92" t="n">
        <f aca="false">IFERROR(F35*L35,"")</f>
        <v>0.3488</v>
      </c>
      <c r="N35" s="93" t="n">
        <f aca="false">IFERROR(J35*L35,"")</f>
        <v>3.06944</v>
      </c>
      <c r="O35" s="102" t="s">
        <v>990</v>
      </c>
      <c r="P35" s="1" t="n">
        <f aca="false">IFERROR(IF(LEFT(D35,1)="K",VLOOKUP(D35,Kit_Catalog!$A:$K,8,FALSE()),VLOOKUP(D35,Additional_Supply_Catalog!$A:$K,7,FALSE())),"")</f>
        <v>109</v>
      </c>
      <c r="Q35" s="1" t="n">
        <f aca="false">IFERROR(IF(LEFT(D35,1)="K",VLOOKUP(D35,Kit_Catalog!$A:$K,7,FALSE()),VLOOKUP(D35,Additional_Supply_Catalog!$A:$K,8,FALSE())),"")</f>
        <v>500</v>
      </c>
      <c r="R35" s="1" t="str">
        <f aca="false">IFERROR(IF(LEFT(D35,1)="K","rxn",VLOOKUP(D35,Additional_Supply_Catalog!$A:$K,9,FALSE())),"")</f>
        <v>mL</v>
      </c>
    </row>
    <row r="36" customFormat="false" ht="15" hidden="false" customHeight="true" outlineLevel="0" collapsed="false">
      <c r="A36" s="96" t="s">
        <v>1009</v>
      </c>
      <c r="B36" s="96" t="s">
        <v>901</v>
      </c>
      <c r="C36" s="96" t="s">
        <v>992</v>
      </c>
      <c r="D36" s="96" t="s">
        <v>360</v>
      </c>
      <c r="E36" s="96" t="s">
        <v>27</v>
      </c>
      <c r="F36" s="97" t="n">
        <v>0.32</v>
      </c>
      <c r="G36" s="96" t="s">
        <v>337</v>
      </c>
      <c r="H36" s="98" t="n">
        <f aca="false">Inputs!$B$20</f>
        <v>0.1</v>
      </c>
      <c r="I36" s="99" t="n">
        <f aca="false">VLOOKUP(E36,Inputs!$D$5:$E$23,2,FALSE())</f>
        <v>8</v>
      </c>
      <c r="J36" s="100" t="n">
        <f aca="false">F36*I36*(1+H36)</f>
        <v>2.816</v>
      </c>
      <c r="K36" s="101" t="n">
        <f aca="false">IF(ISNUMBER(MATCH(G36,{"tube","each","plate","vial","kit","bottle","aliquot","strainer","cap","lane-rxn","tip","strip","lane","channel","library","sample"},0)),ROUNDUP(J36,0),ROUND(J36,2))</f>
        <v>2.82</v>
      </c>
      <c r="L36" s="91" t="n">
        <f aca="false">IFERROR(IF(OR(D36="",P36="",Q36="",Q36=0),"",IF(VLOOKUP(R36,Unit_Conversions!$A$5:$C$28,3,FALSE())=VLOOKUP(G36,Unit_Conversions!$A$5:$C$28,3,FALSE()),P36*VLOOKUP(G36,Unit_Conversions!$A$5:$C$28,2,FALSE())/(Q36*VLOOKUP(R36,Unit_Conversions!$A$5:$C$28,2,FALSE())),"")),"")</f>
        <v>27.265</v>
      </c>
      <c r="M36" s="92" t="n">
        <f aca="false">IFERROR(F36*L36,"")</f>
        <v>8.7248</v>
      </c>
      <c r="N36" s="93" t="n">
        <f aca="false">IFERROR(J36*L36,"")</f>
        <v>76.77824</v>
      </c>
      <c r="O36" s="102" t="s">
        <v>990</v>
      </c>
      <c r="P36" s="1" t="n">
        <f aca="false">IFERROR(IF(LEFT(D36,1)="K",VLOOKUP(D36,Kit_Catalog!$A:$K,8,FALSE()),VLOOKUP(D36,Additional_Supply_Catalog!$A:$K,7,FALSE())),"")</f>
        <v>1635.9</v>
      </c>
      <c r="Q36" s="1" t="n">
        <f aca="false">IFERROR(IF(LEFT(D36,1)="K",VLOOKUP(D36,Kit_Catalog!$A:$K,7,FALSE()),VLOOKUP(D36,Additional_Supply_Catalog!$A:$K,8,FALSE())),"")</f>
        <v>60</v>
      </c>
      <c r="R36" s="1" t="str">
        <f aca="false">IFERROR(IF(LEFT(D36,1)="K","rxn",VLOOKUP(D36,Additional_Supply_Catalog!$A:$K,9,FALSE())),"")</f>
        <v>mL</v>
      </c>
    </row>
    <row r="37" customFormat="false" ht="15" hidden="false" customHeight="true" outlineLevel="0" collapsed="false">
      <c r="A37" s="96" t="s">
        <v>1009</v>
      </c>
      <c r="B37" s="96" t="s">
        <v>901</v>
      </c>
      <c r="C37" s="96" t="s">
        <v>1004</v>
      </c>
      <c r="D37" s="96" t="s">
        <v>375</v>
      </c>
      <c r="E37" s="96" t="s">
        <v>27</v>
      </c>
      <c r="F37" s="97" t="n">
        <v>1</v>
      </c>
      <c r="G37" s="96" t="s">
        <v>1005</v>
      </c>
      <c r="H37" s="98" t="n">
        <f aca="false">Inputs!$B$20</f>
        <v>0.1</v>
      </c>
      <c r="I37" s="99" t="n">
        <f aca="false">VLOOKUP(E37,Inputs!$D$5:$E$23,2,FALSE())</f>
        <v>8</v>
      </c>
      <c r="J37" s="100" t="n">
        <f aca="false">F37*I37*(1+H37)</f>
        <v>8.8</v>
      </c>
      <c r="K37" s="101" t="n">
        <f aca="false">IF(ISNUMBER(MATCH(G37,{"tube","each","plate","vial","kit","bottle","aliquot","strainer","cap","lane-rxn","tip","strip","lane","channel","library","sample"},0)),ROUNDUP(J37,0),ROUND(J37,2))</f>
        <v>9</v>
      </c>
      <c r="L37" s="91" t="str">
        <f aca="false">IFERROR(IF(OR(D37="",P37="",Q37="",Q37=0),"",IF(VLOOKUP(R37,Unit_Conversions!$A$5:$C$28,3,FALSE())=VLOOKUP(G37,Unit_Conversions!$A$5:$C$28,3,FALSE()),P37*VLOOKUP(G37,Unit_Conversions!$A$5:$C$28,2,FALSE())/(Q37*VLOOKUP(R37,Unit_Conversions!$A$5:$C$28,2,FALSE())),"")),"")</f>
        <v/>
      </c>
      <c r="M37" s="92" t="str">
        <f aca="false">IFERROR(F37*L37,"")</f>
        <v/>
      </c>
      <c r="N37" s="93" t="str">
        <f aca="false">IFERROR(J37*L37,"")</f>
        <v/>
      </c>
      <c r="O37" s="102" t="s">
        <v>996</v>
      </c>
      <c r="P37" s="1" t="n">
        <f aca="false">IFERROR(IF(LEFT(D37,1)="K",VLOOKUP(D37,Kit_Catalog!$A:$K,8,FALSE()),VLOOKUP(D37,Additional_Supply_Catalog!$A:$K,7,FALSE())),"")</f>
        <v>606.25</v>
      </c>
      <c r="Q37" s="1" t="n">
        <f aca="false">IFERROR(IF(LEFT(D37,1)="K",VLOOKUP(D37,Kit_Catalog!$A:$K,7,FALSE()),VLOOKUP(D37,Additional_Supply_Catalog!$A:$K,8,FALSE())),"")</f>
        <v>1</v>
      </c>
      <c r="R37" s="1" t="str">
        <f aca="false">IFERROR(IF(LEFT(D37,1)="K","rxn",VLOOKUP(D37,Additional_Supply_Catalog!$A:$K,9,FALSE())),"")</f>
        <v>kit</v>
      </c>
    </row>
    <row r="38" customFormat="false" ht="15" hidden="false" customHeight="true" outlineLevel="0" collapsed="false">
      <c r="A38" s="96" t="s">
        <v>1009</v>
      </c>
      <c r="B38" s="96" t="s">
        <v>901</v>
      </c>
      <c r="C38" s="96" t="s">
        <v>1006</v>
      </c>
      <c r="D38" s="96" t="s">
        <v>367</v>
      </c>
      <c r="E38" s="96" t="s">
        <v>27</v>
      </c>
      <c r="F38" s="97" t="n">
        <v>1</v>
      </c>
      <c r="G38" s="96" t="s">
        <v>1005</v>
      </c>
      <c r="H38" s="98" t="n">
        <f aca="false">Inputs!$B$20</f>
        <v>0.1</v>
      </c>
      <c r="I38" s="99" t="n">
        <f aca="false">VLOOKUP(E38,Inputs!$D$5:$E$23,2,FALSE())</f>
        <v>8</v>
      </c>
      <c r="J38" s="100" t="n">
        <f aca="false">F38*I38*(1+H38)</f>
        <v>8.8</v>
      </c>
      <c r="K38" s="101" t="n">
        <f aca="false">IF(ISNUMBER(MATCH(G38,{"tube","each","plate","vial","kit","bottle","aliquot","strainer","cap","lane-rxn","tip","strip","lane","channel","library","sample"},0)),ROUNDUP(J38,0),ROUND(J38,2))</f>
        <v>9</v>
      </c>
      <c r="L38" s="91" t="n">
        <f aca="false">IFERROR(IF(OR(D38="",P38="",Q38="",Q38=0),"",IF(VLOOKUP(R38,Unit_Conversions!$A$5:$C$28,3,FALSE())=VLOOKUP(G38,Unit_Conversions!$A$5:$C$28,3,FALSE()),P38*VLOOKUP(G38,Unit_Conversions!$A$5:$C$28,2,FALSE())/(Q38*VLOOKUP(R38,Unit_Conversions!$A$5:$C$28,2,FALSE())),"")),"")</f>
        <v>0.8533</v>
      </c>
      <c r="M38" s="92" t="n">
        <f aca="false">IFERROR(F38*L38,"")</f>
        <v>0.8533</v>
      </c>
      <c r="N38" s="93" t="n">
        <f aca="false">IFERROR(J38*L38,"")</f>
        <v>7.50904</v>
      </c>
      <c r="O38" s="102" t="s">
        <v>990</v>
      </c>
      <c r="P38" s="1" t="n">
        <f aca="false">IFERROR(IF(LEFT(D38,1)="K",VLOOKUP(D38,Kit_Catalog!$A:$K,8,FALSE()),VLOOKUP(D38,Additional_Supply_Catalog!$A:$K,7,FALSE())),"")</f>
        <v>426.65</v>
      </c>
      <c r="Q38" s="1" t="n">
        <f aca="false">IFERROR(IF(LEFT(D38,1)="K",VLOOKUP(D38,Kit_Catalog!$A:$K,7,FALSE()),VLOOKUP(D38,Additional_Supply_Catalog!$A:$K,8,FALSE())),"")</f>
        <v>500</v>
      </c>
      <c r="R38" s="1" t="str">
        <f aca="false">IFERROR(IF(LEFT(D38,1)="K","rxn",VLOOKUP(D38,Additional_Supply_Catalog!$A:$K,9,FALSE())),"")</f>
        <v>sample</v>
      </c>
    </row>
    <row r="39" customFormat="false" ht="15" hidden="false" customHeight="true" outlineLevel="0" collapsed="false">
      <c r="A39" s="96" t="s">
        <v>1009</v>
      </c>
      <c r="B39" s="96" t="s">
        <v>901</v>
      </c>
      <c r="C39" s="96" t="s">
        <v>1007</v>
      </c>
      <c r="D39" s="96" t="s">
        <v>579</v>
      </c>
      <c r="E39" s="96" t="s">
        <v>27</v>
      </c>
      <c r="F39" s="97" t="n">
        <v>1</v>
      </c>
      <c r="G39" s="96" t="s">
        <v>548</v>
      </c>
      <c r="H39" s="98" t="n">
        <f aca="false">Inputs!$B$20</f>
        <v>0.1</v>
      </c>
      <c r="I39" s="99" t="n">
        <f aca="false">VLOOKUP(E39,Inputs!$D$5:$E$23,2,FALSE())</f>
        <v>8</v>
      </c>
      <c r="J39" s="100" t="n">
        <f aca="false">F39*I39*(1+H39)</f>
        <v>8.8</v>
      </c>
      <c r="K39" s="101" t="n">
        <f aca="false">IF(ISNUMBER(MATCH(G39,{"tube","each","plate","vial","kit","bottle","aliquot","strainer","cap","lane-rxn","tip","strip","lane","channel","library","sample"},0)),ROUNDUP(J39,0),ROUND(J39,2))</f>
        <v>9</v>
      </c>
      <c r="L39" s="91" t="n">
        <f aca="false">IFERROR(IF(OR(D39="",P39="",Q39="",Q39=0),"",IF(VLOOKUP(R39,Unit_Conversions!$A$5:$C$28,3,FALSE())=VLOOKUP(G39,Unit_Conversions!$A$5:$C$28,3,FALSE()),P39*VLOOKUP(G39,Unit_Conversions!$A$5:$C$28,2,FALSE())/(Q39*VLOOKUP(R39,Unit_Conversions!$A$5:$C$28,2,FALSE())),"")),"")</f>
        <v>0.27</v>
      </c>
      <c r="M39" s="92" t="n">
        <f aca="false">IFERROR(F39*L39,"")</f>
        <v>0.27</v>
      </c>
      <c r="N39" s="93" t="n">
        <f aca="false">IFERROR(J39*L39,"")</f>
        <v>2.376</v>
      </c>
      <c r="O39" s="102" t="s">
        <v>996</v>
      </c>
      <c r="P39" s="1" t="n">
        <f aca="false">IFERROR(IF(LEFT(D39,1)="K",VLOOKUP(D39,Kit_Catalog!$A:$K,8,FALSE()),VLOOKUP(D39,Additional_Supply_Catalog!$A:$K,7,FALSE())),"")</f>
        <v>135</v>
      </c>
      <c r="Q39" s="1" t="n">
        <f aca="false">IFERROR(IF(LEFT(D39,1)="K",VLOOKUP(D39,Kit_Catalog!$A:$K,7,FALSE()),VLOOKUP(D39,Additional_Supply_Catalog!$A:$K,8,FALSE())),"")</f>
        <v>500</v>
      </c>
      <c r="R39" s="1" t="str">
        <f aca="false">IFERROR(IF(LEFT(D39,1)="K","rxn",VLOOKUP(D39,Additional_Supply_Catalog!$A:$K,9,FALSE())),"")</f>
        <v>tube</v>
      </c>
    </row>
    <row r="40" customFormat="false" ht="15" hidden="false" customHeight="true" outlineLevel="0" collapsed="false">
      <c r="A40" s="96" t="s">
        <v>1009</v>
      </c>
      <c r="B40" s="96" t="s">
        <v>901</v>
      </c>
      <c r="C40" s="96" t="s">
        <v>993</v>
      </c>
      <c r="D40" s="96" t="s">
        <v>557</v>
      </c>
      <c r="E40" s="96" t="s">
        <v>27</v>
      </c>
      <c r="F40" s="97" t="n">
        <v>0.25</v>
      </c>
      <c r="G40" s="96" t="s">
        <v>562</v>
      </c>
      <c r="H40" s="98" t="n">
        <f aca="false">Inputs!$B$20</f>
        <v>0.1</v>
      </c>
      <c r="I40" s="99" t="n">
        <f aca="false">VLOOKUP(E40,Inputs!$D$5:$E$23,2,FALSE())</f>
        <v>8</v>
      </c>
      <c r="J40" s="100" t="n">
        <f aca="false">F40*I40*(1+H40)</f>
        <v>2.2</v>
      </c>
      <c r="K40" s="101" t="n">
        <f aca="false">IF(ISNUMBER(MATCH(G40,{"tube","each","plate","vial","kit","bottle","aliquot","strainer","cap","lane-rxn","tip","strip","lane","channel","library","sample"},0)),ROUNDUP(J40,0),ROUND(J40,2))</f>
        <v>3</v>
      </c>
      <c r="L40" s="91" t="n">
        <f aca="false">IFERROR(IF(OR(D40="",P40="",Q40="",Q40=0),"",IF(VLOOKUP(R40,Unit_Conversions!$A$5:$C$28,3,FALSE())=VLOOKUP(G40,Unit_Conversions!$A$5:$C$28,3,FALSE()),P40*VLOOKUP(G40,Unit_Conversions!$A$5:$C$28,2,FALSE())/(Q40*VLOOKUP(R40,Unit_Conversions!$A$5:$C$28,2,FALSE())),"")),"")</f>
        <v>0.7804</v>
      </c>
      <c r="M40" s="92" t="n">
        <f aca="false">IFERROR(F40*L40,"")</f>
        <v>0.1951</v>
      </c>
      <c r="N40" s="93" t="n">
        <f aca="false">IFERROR(J40*L40,"")</f>
        <v>1.71688</v>
      </c>
      <c r="O40" s="102" t="s">
        <v>994</v>
      </c>
      <c r="P40" s="1" t="n">
        <f aca="false">IFERROR(IF(LEFT(D40,1)="K",VLOOKUP(D40,Kit_Catalog!$A:$K,8,FALSE()),VLOOKUP(D40,Additional_Supply_Catalog!$A:$K,7,FALSE())),"")</f>
        <v>97.55</v>
      </c>
      <c r="Q40" s="1" t="n">
        <f aca="false">IFERROR(IF(LEFT(D40,1)="K",VLOOKUP(D40,Kit_Catalog!$A:$K,7,FALSE()),VLOOKUP(D40,Additional_Supply_Catalog!$A:$K,8,FALSE())),"")</f>
        <v>125</v>
      </c>
      <c r="R40" s="1" t="str">
        <f aca="false">IFERROR(IF(LEFT(D40,1)="K","rxn",VLOOKUP(D40,Additional_Supply_Catalog!$A:$K,9,FALSE())),"")</f>
        <v>strip</v>
      </c>
    </row>
    <row r="41" customFormat="false" ht="15" hidden="false" customHeight="true" outlineLevel="0" collapsed="false">
      <c r="A41" s="96" t="s">
        <v>1009</v>
      </c>
      <c r="B41" s="96" t="s">
        <v>901</v>
      </c>
      <c r="C41" s="96" t="s">
        <v>997</v>
      </c>
      <c r="D41" s="96" t="s">
        <v>536</v>
      </c>
      <c r="E41" s="96" t="s">
        <v>27</v>
      </c>
      <c r="F41" s="97" t="n">
        <v>5</v>
      </c>
      <c r="G41" s="96" t="s">
        <v>534</v>
      </c>
      <c r="H41" s="98" t="n">
        <f aca="false">Inputs!$B$20</f>
        <v>0.1</v>
      </c>
      <c r="I41" s="99" t="n">
        <f aca="false">VLOOKUP(E41,Inputs!$D$5:$E$23,2,FALSE())</f>
        <v>8</v>
      </c>
      <c r="J41" s="100" t="n">
        <f aca="false">F41*I41*(1+H41)</f>
        <v>44</v>
      </c>
      <c r="K41" s="101" t="n">
        <f aca="false">IF(ISNUMBER(MATCH(G41,{"tube","each","plate","vial","kit","bottle","aliquot","strainer","cap","lane-rxn","tip","strip","lane","channel","library","sample"},0)),ROUNDUP(J41,0),ROUND(J41,2))</f>
        <v>44</v>
      </c>
      <c r="L41" s="91" t="n">
        <f aca="false">IFERROR(IF(OR(D41="",P41="",Q41="",Q41=0),"",IF(VLOOKUP(R41,Unit_Conversions!$A$5:$C$28,3,FALSE())=VLOOKUP(G41,Unit_Conversions!$A$5:$C$28,3,FALSE()),P41*VLOOKUP(G41,Unit_Conversions!$A$5:$C$28,2,FALSE())/(Q41*VLOOKUP(R41,Unit_Conversions!$A$5:$C$28,2,FALSE())),"")),"")</f>
        <v>0.0187916666666667</v>
      </c>
      <c r="M41" s="92" t="n">
        <f aca="false">IFERROR(F41*L41,"")</f>
        <v>0.0939583333333333</v>
      </c>
      <c r="N41" s="93" t="n">
        <f aca="false">IFERROR(J41*L41,"")</f>
        <v>0.826833333333333</v>
      </c>
      <c r="O41" s="102" t="s">
        <v>996</v>
      </c>
      <c r="P41" s="1" t="n">
        <f aca="false">IFERROR(IF(LEFT(D41,1)="K",VLOOKUP(D41,Kit_Catalog!$A:$K,8,FALSE()),VLOOKUP(D41,Additional_Supply_Catalog!$A:$K,7,FALSE())),"")</f>
        <v>180.4</v>
      </c>
      <c r="Q41" s="1" t="n">
        <f aca="false">IFERROR(IF(LEFT(D41,1)="K",VLOOKUP(D41,Kit_Catalog!$A:$K,7,FALSE()),VLOOKUP(D41,Additional_Supply_Catalog!$A:$K,8,FALSE())),"")</f>
        <v>9600</v>
      </c>
      <c r="R41" s="1" t="str">
        <f aca="false">IFERROR(IF(LEFT(D41,1)="K","rxn",VLOOKUP(D41,Additional_Supply_Catalog!$A:$K,9,FALSE())),"")</f>
        <v>tip</v>
      </c>
    </row>
    <row r="42" customFormat="false" ht="15" hidden="false" customHeight="true" outlineLevel="0" collapsed="false">
      <c r="A42" s="96" t="s">
        <v>1009</v>
      </c>
      <c r="B42" s="96" t="s">
        <v>901</v>
      </c>
      <c r="C42" s="96" t="s">
        <v>998</v>
      </c>
      <c r="D42" s="96" t="s">
        <v>540</v>
      </c>
      <c r="E42" s="96" t="s">
        <v>27</v>
      </c>
      <c r="F42" s="97" t="n">
        <v>2</v>
      </c>
      <c r="G42" s="96" t="s">
        <v>534</v>
      </c>
      <c r="H42" s="98" t="n">
        <f aca="false">Inputs!$B$20</f>
        <v>0.1</v>
      </c>
      <c r="I42" s="99" t="n">
        <f aca="false">VLOOKUP(E42,Inputs!$D$5:$E$23,2,FALSE())</f>
        <v>8</v>
      </c>
      <c r="J42" s="100" t="n">
        <f aca="false">F42*I42*(1+H42)</f>
        <v>17.6</v>
      </c>
      <c r="K42" s="101" t="n">
        <f aca="false">IF(ISNUMBER(MATCH(G42,{"tube","each","plate","vial","kit","bottle","aliquot","strainer","cap","lane-rxn","tip","strip","lane","channel","library","sample"},0)),ROUNDUP(J42,0),ROUND(J42,2))</f>
        <v>18</v>
      </c>
      <c r="L42" s="91" t="n">
        <f aca="false">IFERROR(IF(OR(D42="",P42="",Q42="",Q42=0),"",IF(VLOOKUP(R42,Unit_Conversions!$A$5:$C$28,3,FALSE())=VLOOKUP(G42,Unit_Conversions!$A$5:$C$28,3,FALSE()),P42*VLOOKUP(G42,Unit_Conversions!$A$5:$C$28,2,FALSE())/(Q42*VLOOKUP(R42,Unit_Conversions!$A$5:$C$28,2,FALSE())),"")),"")</f>
        <v>0.0187916666666667</v>
      </c>
      <c r="M42" s="92" t="n">
        <f aca="false">IFERROR(F42*L42,"")</f>
        <v>0.0375833333333333</v>
      </c>
      <c r="N42" s="93" t="n">
        <f aca="false">IFERROR(J42*L42,"")</f>
        <v>0.330733333333333</v>
      </c>
      <c r="O42" s="102" t="s">
        <v>996</v>
      </c>
      <c r="P42" s="1" t="n">
        <f aca="false">IFERROR(IF(LEFT(D42,1)="K",VLOOKUP(D42,Kit_Catalog!$A:$K,8,FALSE()),VLOOKUP(D42,Additional_Supply_Catalog!$A:$K,7,FALSE())),"")</f>
        <v>180.4</v>
      </c>
      <c r="Q42" s="1" t="n">
        <f aca="false">IFERROR(IF(LEFT(D42,1)="K",VLOOKUP(D42,Kit_Catalog!$A:$K,7,FALSE()),VLOOKUP(D42,Additional_Supply_Catalog!$A:$K,8,FALSE())),"")</f>
        <v>9600</v>
      </c>
      <c r="R42" s="1" t="str">
        <f aca="false">IFERROR(IF(LEFT(D42,1)="K","rxn",VLOOKUP(D42,Additional_Supply_Catalog!$A:$K,9,FALSE())),"")</f>
        <v>tip</v>
      </c>
    </row>
    <row r="43" customFormat="false" ht="15" hidden="false" customHeight="true" outlineLevel="0" collapsed="false">
      <c r="A43" s="96" t="s">
        <v>1009</v>
      </c>
      <c r="B43" s="96" t="s">
        <v>901</v>
      </c>
      <c r="C43" s="96" t="s">
        <v>999</v>
      </c>
      <c r="D43" s="96" t="s">
        <v>544</v>
      </c>
      <c r="E43" s="96" t="s">
        <v>27</v>
      </c>
      <c r="F43" s="97" t="n">
        <v>1</v>
      </c>
      <c r="G43" s="96" t="s">
        <v>548</v>
      </c>
      <c r="H43" s="98" t="n">
        <f aca="false">Inputs!$B$20</f>
        <v>0.1</v>
      </c>
      <c r="I43" s="99" t="n">
        <f aca="false">VLOOKUP(E43,Inputs!$D$5:$E$23,2,FALSE())</f>
        <v>8</v>
      </c>
      <c r="J43" s="100" t="n">
        <f aca="false">F43*I43*(1+H43)</f>
        <v>8.8</v>
      </c>
      <c r="K43" s="101" t="n">
        <f aca="false">IF(ISNUMBER(MATCH(G43,{"tube","each","plate","vial","kit","bottle","aliquot","strainer","cap","lane-rxn","tip","strip","lane","channel","library","sample"},0)),ROUNDUP(J43,0),ROUND(J43,2))</f>
        <v>9</v>
      </c>
      <c r="L43" s="91" t="n">
        <f aca="false">IFERROR(IF(OR(D43="",P43="",Q43="",Q43=0),"",IF(VLOOKUP(R43,Unit_Conversions!$A$5:$C$28,3,FALSE())=VLOOKUP(G43,Unit_Conversions!$A$5:$C$28,3,FALSE()),P43*VLOOKUP(G43,Unit_Conversions!$A$5:$C$28,2,FALSE())/(Q43*VLOOKUP(R43,Unit_Conversions!$A$5:$C$28,2,FALSE())),"")),"")</f>
        <v>0.17956</v>
      </c>
      <c r="M43" s="92" t="n">
        <f aca="false">IFERROR(F43*L43,"")</f>
        <v>0.17956</v>
      </c>
      <c r="N43" s="93" t="n">
        <f aca="false">IFERROR(J43*L43,"")</f>
        <v>1.580128</v>
      </c>
      <c r="O43" s="102" t="s">
        <v>996</v>
      </c>
      <c r="P43" s="1" t="n">
        <f aca="false">IFERROR(IF(LEFT(D43,1)="K",VLOOKUP(D43,Kit_Catalog!$A:$K,8,FALSE()),VLOOKUP(D43,Additional_Supply_Catalog!$A:$K,7,FALSE())),"")</f>
        <v>44.89</v>
      </c>
      <c r="Q43" s="1" t="n">
        <f aca="false">IFERROR(IF(LEFT(D43,1)="K",VLOOKUP(D43,Kit_Catalog!$A:$K,7,FALSE()),VLOOKUP(D43,Additional_Supply_Catalog!$A:$K,8,FALSE())),"")</f>
        <v>250</v>
      </c>
      <c r="R43" s="1" t="str">
        <f aca="false">IFERROR(IF(LEFT(D43,1)="K","rxn",VLOOKUP(D43,Additional_Supply_Catalog!$A:$K,9,FALSE())),"")</f>
        <v>tube</v>
      </c>
    </row>
    <row r="44" customFormat="false" ht="15" hidden="false" customHeight="true" outlineLevel="0" collapsed="false">
      <c r="A44" s="96" t="s">
        <v>1009</v>
      </c>
      <c r="B44" s="96" t="s">
        <v>901</v>
      </c>
      <c r="C44" s="96" t="s">
        <v>1001</v>
      </c>
      <c r="D44" s="96"/>
      <c r="E44" s="96" t="s">
        <v>27</v>
      </c>
      <c r="F44" s="97" t="n">
        <v>1</v>
      </c>
      <c r="G44" s="96" t="s">
        <v>373</v>
      </c>
      <c r="H44" s="98" t="n">
        <f aca="false">Inputs!$B$20</f>
        <v>0.1</v>
      </c>
      <c r="I44" s="99" t="n">
        <f aca="false">VLOOKUP(E44,Inputs!$D$5:$E$23,2,FALSE())</f>
        <v>8</v>
      </c>
      <c r="J44" s="100" t="n">
        <f aca="false">F44*I44*(1+H44)</f>
        <v>8.8</v>
      </c>
      <c r="K44" s="101" t="n">
        <f aca="false">IF(ISNUMBER(MATCH(G44,{"tube","each","plate","vial","kit","bottle","aliquot","strainer","cap","lane-rxn","tip","strip","lane","channel","library","sample"},0)),ROUNDUP(J44,0),ROUND(J44,2))</f>
        <v>9</v>
      </c>
      <c r="L44" s="91" t="str">
        <f aca="false">IFERROR(IF(OR(D44="",P44="",Q44="",Q44=0),"",IF(VLOOKUP(R44,Unit_Conversions!$A$5:$C$28,3,FALSE())=VLOOKUP(G44,Unit_Conversions!$A$5:$C$28,3,FALSE()),P44*VLOOKUP(G44,Unit_Conversions!$A$5:$C$28,2,FALSE())/(Q44*VLOOKUP(R44,Unit_Conversions!$A$5:$C$28,2,FALSE())),"")),"")</f>
        <v/>
      </c>
      <c r="M44" s="92" t="str">
        <f aca="false">IFERROR(F44*L44,"")</f>
        <v/>
      </c>
      <c r="N44" s="93" t="str">
        <f aca="false">IFERROR(J44*L44,"")</f>
        <v/>
      </c>
      <c r="O44" s="102" t="s">
        <v>996</v>
      </c>
      <c r="P44" s="1" t="str">
        <f aca="false">IFERROR(IF(LEFT(D44,1)="K",VLOOKUP(D44,Kit_Catalog!$A:$K,8,FALSE()),VLOOKUP(D44,Additional_Supply_Catalog!$A:$K,7,FALSE())),"")</f>
        <v/>
      </c>
      <c r="Q44" s="1" t="str">
        <f aca="false">IFERROR(IF(LEFT(D44,1)="K",VLOOKUP(D44,Kit_Catalog!$A:$K,7,FALSE()),VLOOKUP(D44,Additional_Supply_Catalog!$A:$K,8,FALSE())),"")</f>
        <v/>
      </c>
      <c r="R44" s="1" t="str">
        <f aca="false">IFERROR(IF(LEFT(D44,1)="K","rxn",VLOOKUP(D44,Additional_Supply_Catalog!$A:$K,9,FALSE())),"")</f>
        <v/>
      </c>
    </row>
    <row r="45" customFormat="false" ht="15" hidden="false" customHeight="true" outlineLevel="0" collapsed="false">
      <c r="A45" s="96" t="s">
        <v>1009</v>
      </c>
      <c r="B45" s="96" t="s">
        <v>901</v>
      </c>
      <c r="C45" s="96" t="s">
        <v>1008</v>
      </c>
      <c r="D45" s="96" t="s">
        <v>388</v>
      </c>
      <c r="E45" s="96" t="s">
        <v>27</v>
      </c>
      <c r="F45" s="97" t="n">
        <v>1</v>
      </c>
      <c r="G45" s="96" t="s">
        <v>1005</v>
      </c>
      <c r="H45" s="98" t="n">
        <f aca="false">Inputs!$B$20</f>
        <v>0.1</v>
      </c>
      <c r="I45" s="99" t="n">
        <f aca="false">VLOOKUP(E45,Inputs!$D$5:$E$23,2,FALSE())</f>
        <v>8</v>
      </c>
      <c r="J45" s="100" t="n">
        <f aca="false">F45*I45*(1+H45)</f>
        <v>8.8</v>
      </c>
      <c r="K45" s="101" t="n">
        <f aca="false">IF(ISNUMBER(MATCH(G45,{"tube","each","plate","vial","kit","bottle","aliquot","strainer","cap","lane-rxn","tip","strip","lane","channel","library","sample"},0)),ROUNDUP(J45,0),ROUND(J45,2))</f>
        <v>9</v>
      </c>
      <c r="L45" s="91" t="str">
        <f aca="false">IFERROR(IF(OR(D45="",P45="",Q45="",Q45=0),"",IF(VLOOKUP(R45,Unit_Conversions!$A$5:$C$28,3,FALSE())=VLOOKUP(G45,Unit_Conversions!$A$5:$C$28,3,FALSE()),P45*VLOOKUP(G45,Unit_Conversions!$A$5:$C$28,2,FALSE())/(Q45*VLOOKUP(R45,Unit_Conversions!$A$5:$C$28,2,FALSE())),"")),"")</f>
        <v/>
      </c>
      <c r="M45" s="92" t="str">
        <f aca="false">IFERROR(F45*L45,"")</f>
        <v/>
      </c>
      <c r="N45" s="93" t="str">
        <f aca="false">IFERROR(J45*L45,"")</f>
        <v/>
      </c>
      <c r="O45" s="102" t="s">
        <v>1000</v>
      </c>
      <c r="P45" s="1" t="n">
        <f aca="false">IFERROR(IF(LEFT(D45,1)="K",VLOOKUP(D45,Kit_Catalog!$A:$K,8,FALSE()),VLOOKUP(D45,Additional_Supply_Catalog!$A:$K,7,FALSE())),"")</f>
        <v>0</v>
      </c>
      <c r="Q45" s="1" t="n">
        <f aca="false">IFERROR(IF(LEFT(D45,1)="K",VLOOKUP(D45,Kit_Catalog!$A:$K,7,FALSE()),VLOOKUP(D45,Additional_Supply_Catalog!$A:$K,8,FALSE())),"")</f>
        <v>0</v>
      </c>
      <c r="R45" s="1" t="n">
        <f aca="false">IFERROR(IF(LEFT(D45,1)="K","rxn",VLOOKUP(D45,Additional_Supply_Catalog!$A:$K,9,FALSE())),"")</f>
        <v>0</v>
      </c>
    </row>
    <row r="46" customFormat="false" ht="15" hidden="false" customHeight="true" outlineLevel="0" collapsed="false">
      <c r="A46" s="85" t="s">
        <v>1010</v>
      </c>
      <c r="B46" s="85" t="s">
        <v>901</v>
      </c>
      <c r="C46" s="85" t="s">
        <v>204</v>
      </c>
      <c r="D46" s="85" t="s">
        <v>203</v>
      </c>
      <c r="E46" s="85" t="s">
        <v>29</v>
      </c>
      <c r="F46" s="86" t="n">
        <v>1</v>
      </c>
      <c r="G46" s="85" t="s">
        <v>971</v>
      </c>
      <c r="H46" s="87" t="n">
        <f aca="false">Inputs!$B$20</f>
        <v>0.1</v>
      </c>
      <c r="I46" s="88" t="n">
        <f aca="false">VLOOKUP(E46,Inputs!$D$5:$E$23,2,FALSE())</f>
        <v>8</v>
      </c>
      <c r="J46" s="89" t="n">
        <f aca="false">F46*I46*(1+H46)</f>
        <v>8.8</v>
      </c>
      <c r="K46" s="90" t="n">
        <f aca="false">IF(ISNUMBER(MATCH(G46,{"tube","each","plate","vial","kit","bottle","aliquot","strainer","cap","lane-rxn","tip","strip","lane","channel","library","sample"},0)),ROUNDUP(J46,0),ROUND(J46,2))</f>
        <v>8.8</v>
      </c>
      <c r="L46" s="91" t="n">
        <f aca="false">IFERROR(IF(OR(D46="",P46="",Q46="",Q46=0),"",IF(VLOOKUP(R46,Unit_Conversions!$A$5:$C$28,3,FALSE())=VLOOKUP(G46,Unit_Conversions!$A$5:$C$28,3,FALSE()),P46*VLOOKUP(G46,Unit_Conversions!$A$5:$C$28,2,FALSE())/(Q46*VLOOKUP(R46,Unit_Conversions!$A$5:$C$28,2,FALSE())),"")),"")</f>
        <v>41.875</v>
      </c>
      <c r="M46" s="92" t="n">
        <f aca="false">IFERROR(F46*L46,"")</f>
        <v>41.875</v>
      </c>
      <c r="N46" s="93" t="n">
        <f aca="false">IFERROR(J46*L46,"")</f>
        <v>368.5</v>
      </c>
      <c r="O46" s="94" t="s">
        <v>989</v>
      </c>
      <c r="P46" s="1" t="n">
        <f aca="false">IFERROR(IF(LEFT(D46,1)="K",VLOOKUP(D46,Kit_Catalog!$A:$K,8,FALSE()),VLOOKUP(D46,Additional_Supply_Catalog!$A:$K,7,FALSE())),"")</f>
        <v>670</v>
      </c>
      <c r="Q46" s="1" t="n">
        <f aca="false">IFERROR(IF(LEFT(D46,1)="K",VLOOKUP(D46,Kit_Catalog!$A:$K,7,FALSE()),VLOOKUP(D46,Additional_Supply_Catalog!$A:$K,8,FALSE())),"")</f>
        <v>16</v>
      </c>
      <c r="R46" s="1" t="str">
        <f aca="false">IFERROR(IF(LEFT(D46,1)="K","rxn",VLOOKUP(D46,Additional_Supply_Catalog!$A:$K,9,FALSE())),"")</f>
        <v>rxn</v>
      </c>
    </row>
    <row r="47" customFormat="false" ht="15" hidden="false" customHeight="true" outlineLevel="0" collapsed="false">
      <c r="A47" s="85" t="s">
        <v>1010</v>
      </c>
      <c r="B47" s="85" t="s">
        <v>901</v>
      </c>
      <c r="C47" s="85" t="s">
        <v>207</v>
      </c>
      <c r="D47" s="85" t="s">
        <v>206</v>
      </c>
      <c r="E47" s="85" t="s">
        <v>29</v>
      </c>
      <c r="F47" s="86" t="n">
        <v>1</v>
      </c>
      <c r="G47" s="85" t="s">
        <v>971</v>
      </c>
      <c r="H47" s="87" t="n">
        <f aca="false">Inputs!$B$20</f>
        <v>0.1</v>
      </c>
      <c r="I47" s="88" t="n">
        <f aca="false">VLOOKUP(E47,Inputs!$D$5:$E$23,2,FALSE())</f>
        <v>8</v>
      </c>
      <c r="J47" s="89" t="n">
        <f aca="false">F47*I47*(1+H47)</f>
        <v>8.8</v>
      </c>
      <c r="K47" s="90" t="n">
        <f aca="false">IF(ISNUMBER(MATCH(G47,{"tube","each","plate","vial","kit","bottle","aliquot","strainer","cap","lane-rxn","tip","strip","lane","channel","library","sample"},0)),ROUNDUP(J47,0),ROUND(J47,2))</f>
        <v>8.8</v>
      </c>
      <c r="L47" s="91" t="n">
        <f aca="false">IFERROR(IF(OR(D47="",P47="",Q47="",Q47=0),"",IF(VLOOKUP(R47,Unit_Conversions!$A$5:$C$28,3,FALSE())=VLOOKUP(G47,Unit_Conversions!$A$5:$C$28,3,FALSE()),P47*VLOOKUP(G47,Unit_Conversions!$A$5:$C$28,2,FALSE())/(Q47*VLOOKUP(R47,Unit_Conversions!$A$5:$C$28,2,FALSE())),"")),"")</f>
        <v>10</v>
      </c>
      <c r="M47" s="92" t="n">
        <f aca="false">IFERROR(F47*L47,"")</f>
        <v>10</v>
      </c>
      <c r="N47" s="93" t="n">
        <f aca="false">IFERROR(J47*L47,"")</f>
        <v>88</v>
      </c>
      <c r="O47" s="94" t="s">
        <v>989</v>
      </c>
      <c r="P47" s="1" t="n">
        <f aca="false">IFERROR(IF(LEFT(D47,1)="K",VLOOKUP(D47,Kit_Catalog!$A:$K,8,FALSE()),VLOOKUP(D47,Additional_Supply_Catalog!$A:$K,7,FALSE())),"")</f>
        <v>960</v>
      </c>
      <c r="Q47" s="1" t="n">
        <f aca="false">IFERROR(IF(LEFT(D47,1)="K",VLOOKUP(D47,Kit_Catalog!$A:$K,7,FALSE()),VLOOKUP(D47,Additional_Supply_Catalog!$A:$K,8,FALSE())),"")</f>
        <v>96</v>
      </c>
      <c r="R47" s="1" t="str">
        <f aca="false">IFERROR(IF(LEFT(D47,1)="K","rxn",VLOOKUP(D47,Additional_Supply_Catalog!$A:$K,9,FALSE())),"")</f>
        <v>rxn</v>
      </c>
    </row>
    <row r="48" customFormat="false" ht="15" hidden="false" customHeight="true" outlineLevel="0" collapsed="false">
      <c r="A48" s="85" t="s">
        <v>1010</v>
      </c>
      <c r="B48" s="85" t="s">
        <v>901</v>
      </c>
      <c r="C48" s="85" t="s">
        <v>354</v>
      </c>
      <c r="D48" s="85" t="s">
        <v>353</v>
      </c>
      <c r="E48" s="85" t="s">
        <v>29</v>
      </c>
      <c r="F48" s="86" t="n">
        <v>0.0605</v>
      </c>
      <c r="G48" s="85" t="s">
        <v>337</v>
      </c>
      <c r="H48" s="87" t="n">
        <f aca="false">Inputs!$B$20</f>
        <v>0.1</v>
      </c>
      <c r="I48" s="88" t="n">
        <f aca="false">VLOOKUP(E48,Inputs!$D$5:$E$23,2,FALSE())</f>
        <v>8</v>
      </c>
      <c r="J48" s="89" t="n">
        <f aca="false">F48*I48*(1+H48)</f>
        <v>0.5324</v>
      </c>
      <c r="K48" s="90" t="n">
        <f aca="false">IF(ISNUMBER(MATCH(G48,{"tube","each","plate","vial","kit","bottle","aliquot","strainer","cap","lane-rxn","tip","strip","lane","channel","library","sample"},0)),ROUNDUP(J48,0),ROUND(J48,2))</f>
        <v>0.53</v>
      </c>
      <c r="L48" s="91" t="n">
        <f aca="false">IFERROR(IF(OR(D48="",P48="",Q48="",Q48=0),"",IF(VLOOKUP(R48,Unit_Conversions!$A$5:$C$28,3,FALSE())=VLOOKUP(G48,Unit_Conversions!$A$5:$C$28,3,FALSE()),P48*VLOOKUP(G48,Unit_Conversions!$A$5:$C$28,2,FALSE())/(Q48*VLOOKUP(R48,Unit_Conversions!$A$5:$C$28,2,FALSE())),"")),"")</f>
        <v>0.1996</v>
      </c>
      <c r="M48" s="92" t="n">
        <f aca="false">IFERROR(F48*L48,"")</f>
        <v>0.0120758</v>
      </c>
      <c r="N48" s="93" t="n">
        <f aca="false">IFERROR(J48*L48,"")</f>
        <v>0.10626704</v>
      </c>
      <c r="O48" s="94" t="s">
        <v>990</v>
      </c>
      <c r="P48" s="1" t="n">
        <f aca="false">IFERROR(IF(LEFT(D48,1)="K",VLOOKUP(D48,Kit_Catalog!$A:$K,8,FALSE()),VLOOKUP(D48,Additional_Supply_Catalog!$A:$K,7,FALSE())),"")</f>
        <v>49.9</v>
      </c>
      <c r="Q48" s="1" t="n">
        <f aca="false">IFERROR(IF(LEFT(D48,1)="K",VLOOKUP(D48,Kit_Catalog!$A:$K,7,FALSE()),VLOOKUP(D48,Additional_Supply_Catalog!$A:$K,8,FALSE())),"")</f>
        <v>250</v>
      </c>
      <c r="R48" s="1" t="str">
        <f aca="false">IFERROR(IF(LEFT(D48,1)="K","rxn",VLOOKUP(D48,Additional_Supply_Catalog!$A:$K,9,FALSE())),"")</f>
        <v>mL</v>
      </c>
    </row>
    <row r="49" customFormat="false" ht="15" hidden="false" customHeight="true" outlineLevel="0" collapsed="false">
      <c r="A49" s="85" t="s">
        <v>1010</v>
      </c>
      <c r="B49" s="85" t="s">
        <v>901</v>
      </c>
      <c r="C49" s="85" t="s">
        <v>991</v>
      </c>
      <c r="D49" s="85" t="s">
        <v>346</v>
      </c>
      <c r="E49" s="85" t="s">
        <v>29</v>
      </c>
      <c r="F49" s="86" t="n">
        <v>0.5</v>
      </c>
      <c r="G49" s="85" t="s">
        <v>337</v>
      </c>
      <c r="H49" s="87" t="n">
        <f aca="false">Inputs!$B$20</f>
        <v>0.1</v>
      </c>
      <c r="I49" s="88" t="n">
        <f aca="false">VLOOKUP(E49,Inputs!$D$5:$E$23,2,FALSE())</f>
        <v>8</v>
      </c>
      <c r="J49" s="89" t="n">
        <f aca="false">F49*I49*(1+H49)</f>
        <v>4.4</v>
      </c>
      <c r="K49" s="90" t="n">
        <f aca="false">IF(ISNUMBER(MATCH(G49,{"tube","each","plate","vial","kit","bottle","aliquot","strainer","cap","lane-rxn","tip","strip","lane","channel","library","sample"},0)),ROUNDUP(J49,0),ROUND(J49,2))</f>
        <v>4.4</v>
      </c>
      <c r="L49" s="91" t="n">
        <f aca="false">IFERROR(IF(OR(D49="",P49="",Q49="",Q49=0),"",IF(VLOOKUP(R49,Unit_Conversions!$A$5:$C$28,3,FALSE())=VLOOKUP(G49,Unit_Conversions!$A$5:$C$28,3,FALSE()),P49*VLOOKUP(G49,Unit_Conversions!$A$5:$C$28,2,FALSE())/(Q49*VLOOKUP(R49,Unit_Conversions!$A$5:$C$28,2,FALSE())),"")),"")</f>
        <v>0.218</v>
      </c>
      <c r="M49" s="92" t="n">
        <f aca="false">IFERROR(F49*L49,"")</f>
        <v>0.109</v>
      </c>
      <c r="N49" s="93" t="n">
        <f aca="false">IFERROR(J49*L49,"")</f>
        <v>0.9592</v>
      </c>
      <c r="O49" s="94" t="s">
        <v>990</v>
      </c>
      <c r="P49" s="1" t="n">
        <f aca="false">IFERROR(IF(LEFT(D49,1)="K",VLOOKUP(D49,Kit_Catalog!$A:$K,8,FALSE()),VLOOKUP(D49,Additional_Supply_Catalog!$A:$K,7,FALSE())),"")</f>
        <v>109</v>
      </c>
      <c r="Q49" s="1" t="n">
        <f aca="false">IFERROR(IF(LEFT(D49,1)="K",VLOOKUP(D49,Kit_Catalog!$A:$K,7,FALSE()),VLOOKUP(D49,Additional_Supply_Catalog!$A:$K,8,FALSE())),"")</f>
        <v>500</v>
      </c>
      <c r="R49" s="1" t="str">
        <f aca="false">IFERROR(IF(LEFT(D49,1)="K","rxn",VLOOKUP(D49,Additional_Supply_Catalog!$A:$K,9,FALSE())),"")</f>
        <v>mL</v>
      </c>
    </row>
    <row r="50" customFormat="false" ht="15" hidden="false" customHeight="true" outlineLevel="0" collapsed="false">
      <c r="A50" s="85" t="s">
        <v>1010</v>
      </c>
      <c r="B50" s="85" t="s">
        <v>901</v>
      </c>
      <c r="C50" s="85" t="s">
        <v>992</v>
      </c>
      <c r="D50" s="85" t="s">
        <v>360</v>
      </c>
      <c r="E50" s="85" t="s">
        <v>29</v>
      </c>
      <c r="F50" s="86" t="n">
        <v>0.12</v>
      </c>
      <c r="G50" s="85" t="s">
        <v>337</v>
      </c>
      <c r="H50" s="87" t="n">
        <f aca="false">Inputs!$B$20</f>
        <v>0.1</v>
      </c>
      <c r="I50" s="88" t="n">
        <f aca="false">VLOOKUP(E50,Inputs!$D$5:$E$23,2,FALSE())</f>
        <v>8</v>
      </c>
      <c r="J50" s="89" t="n">
        <f aca="false">F50*I50*(1+H50)</f>
        <v>1.056</v>
      </c>
      <c r="K50" s="90" t="n">
        <f aca="false">IF(ISNUMBER(MATCH(G50,{"tube","each","plate","vial","kit","bottle","aliquot","strainer","cap","lane-rxn","tip","strip","lane","channel","library","sample"},0)),ROUNDUP(J50,0),ROUND(J50,2))</f>
        <v>1.06</v>
      </c>
      <c r="L50" s="91" t="n">
        <f aca="false">IFERROR(IF(OR(D50="",P50="",Q50="",Q50=0),"",IF(VLOOKUP(R50,Unit_Conversions!$A$5:$C$28,3,FALSE())=VLOOKUP(G50,Unit_Conversions!$A$5:$C$28,3,FALSE()),P50*VLOOKUP(G50,Unit_Conversions!$A$5:$C$28,2,FALSE())/(Q50*VLOOKUP(R50,Unit_Conversions!$A$5:$C$28,2,FALSE())),"")),"")</f>
        <v>27.265</v>
      </c>
      <c r="M50" s="92" t="n">
        <f aca="false">IFERROR(F50*L50,"")</f>
        <v>3.2718</v>
      </c>
      <c r="N50" s="93" t="n">
        <f aca="false">IFERROR(J50*L50,"")</f>
        <v>28.79184</v>
      </c>
      <c r="O50" s="94" t="s">
        <v>990</v>
      </c>
      <c r="P50" s="1" t="n">
        <f aca="false">IFERROR(IF(LEFT(D50,1)="K",VLOOKUP(D50,Kit_Catalog!$A:$K,8,FALSE()),VLOOKUP(D50,Additional_Supply_Catalog!$A:$K,7,FALSE())),"")</f>
        <v>1635.9</v>
      </c>
      <c r="Q50" s="1" t="n">
        <f aca="false">IFERROR(IF(LEFT(D50,1)="K",VLOOKUP(D50,Kit_Catalog!$A:$K,7,FALSE()),VLOOKUP(D50,Additional_Supply_Catalog!$A:$K,8,FALSE())),"")</f>
        <v>60</v>
      </c>
      <c r="R50" s="1" t="str">
        <f aca="false">IFERROR(IF(LEFT(D50,1)="K","rxn",VLOOKUP(D50,Additional_Supply_Catalog!$A:$K,9,FALSE())),"")</f>
        <v>mL</v>
      </c>
    </row>
    <row r="51" customFormat="false" ht="15" hidden="false" customHeight="true" outlineLevel="0" collapsed="false">
      <c r="A51" s="85" t="s">
        <v>1010</v>
      </c>
      <c r="B51" s="85" t="s">
        <v>901</v>
      </c>
      <c r="C51" s="85" t="s">
        <v>1004</v>
      </c>
      <c r="D51" s="85" t="s">
        <v>375</v>
      </c>
      <c r="E51" s="85" t="s">
        <v>29</v>
      </c>
      <c r="F51" s="86" t="n">
        <v>1</v>
      </c>
      <c r="G51" s="85" t="s">
        <v>1005</v>
      </c>
      <c r="H51" s="87" t="n">
        <f aca="false">Inputs!$B$20</f>
        <v>0.1</v>
      </c>
      <c r="I51" s="88" t="n">
        <f aca="false">VLOOKUP(E51,Inputs!$D$5:$E$23,2,FALSE())</f>
        <v>8</v>
      </c>
      <c r="J51" s="89" t="n">
        <f aca="false">F51*I51*(1+H51)</f>
        <v>8.8</v>
      </c>
      <c r="K51" s="90" t="n">
        <f aca="false">IF(ISNUMBER(MATCH(G51,{"tube","each","plate","vial","kit","bottle","aliquot","strainer","cap","lane-rxn","tip","strip","lane","channel","library","sample"},0)),ROUNDUP(J51,0),ROUND(J51,2))</f>
        <v>9</v>
      </c>
      <c r="L51" s="91" t="str">
        <f aca="false">IFERROR(IF(OR(D51="",P51="",Q51="",Q51=0),"",IF(VLOOKUP(R51,Unit_Conversions!$A$5:$C$28,3,FALSE())=VLOOKUP(G51,Unit_Conversions!$A$5:$C$28,3,FALSE()),P51*VLOOKUP(G51,Unit_Conversions!$A$5:$C$28,2,FALSE())/(Q51*VLOOKUP(R51,Unit_Conversions!$A$5:$C$28,2,FALSE())),"")),"")</f>
        <v/>
      </c>
      <c r="M51" s="92" t="str">
        <f aca="false">IFERROR(F51*L51,"")</f>
        <v/>
      </c>
      <c r="N51" s="93" t="str">
        <f aca="false">IFERROR(J51*L51,"")</f>
        <v/>
      </c>
      <c r="O51" s="94" t="s">
        <v>996</v>
      </c>
      <c r="P51" s="1" t="n">
        <f aca="false">IFERROR(IF(LEFT(D51,1)="K",VLOOKUP(D51,Kit_Catalog!$A:$K,8,FALSE()),VLOOKUP(D51,Additional_Supply_Catalog!$A:$K,7,FALSE())),"")</f>
        <v>606.25</v>
      </c>
      <c r="Q51" s="1" t="n">
        <f aca="false">IFERROR(IF(LEFT(D51,1)="K",VLOOKUP(D51,Kit_Catalog!$A:$K,7,FALSE()),VLOOKUP(D51,Additional_Supply_Catalog!$A:$K,8,FALSE())),"")</f>
        <v>1</v>
      </c>
      <c r="R51" s="1" t="str">
        <f aca="false">IFERROR(IF(LEFT(D51,1)="K","rxn",VLOOKUP(D51,Additional_Supply_Catalog!$A:$K,9,FALSE())),"")</f>
        <v>kit</v>
      </c>
    </row>
    <row r="52" customFormat="false" ht="15" hidden="false" customHeight="true" outlineLevel="0" collapsed="false">
      <c r="A52" s="85" t="s">
        <v>1010</v>
      </c>
      <c r="B52" s="85" t="s">
        <v>901</v>
      </c>
      <c r="C52" s="85" t="s">
        <v>1006</v>
      </c>
      <c r="D52" s="85" t="s">
        <v>367</v>
      </c>
      <c r="E52" s="85" t="s">
        <v>29</v>
      </c>
      <c r="F52" s="86" t="n">
        <v>1</v>
      </c>
      <c r="G52" s="85" t="s">
        <v>1005</v>
      </c>
      <c r="H52" s="87" t="n">
        <f aca="false">Inputs!$B$20</f>
        <v>0.1</v>
      </c>
      <c r="I52" s="88" t="n">
        <f aca="false">VLOOKUP(E52,Inputs!$D$5:$E$23,2,FALSE())</f>
        <v>8</v>
      </c>
      <c r="J52" s="89" t="n">
        <f aca="false">F52*I52*(1+H52)</f>
        <v>8.8</v>
      </c>
      <c r="K52" s="90" t="n">
        <f aca="false">IF(ISNUMBER(MATCH(G52,{"tube","each","plate","vial","kit","bottle","aliquot","strainer","cap","lane-rxn","tip","strip","lane","channel","library","sample"},0)),ROUNDUP(J52,0),ROUND(J52,2))</f>
        <v>9</v>
      </c>
      <c r="L52" s="91" t="n">
        <f aca="false">IFERROR(IF(OR(D52="",P52="",Q52="",Q52=0),"",IF(VLOOKUP(R52,Unit_Conversions!$A$5:$C$28,3,FALSE())=VLOOKUP(G52,Unit_Conversions!$A$5:$C$28,3,FALSE()),P52*VLOOKUP(G52,Unit_Conversions!$A$5:$C$28,2,FALSE())/(Q52*VLOOKUP(R52,Unit_Conversions!$A$5:$C$28,2,FALSE())),"")),"")</f>
        <v>0.8533</v>
      </c>
      <c r="M52" s="92" t="n">
        <f aca="false">IFERROR(F52*L52,"")</f>
        <v>0.8533</v>
      </c>
      <c r="N52" s="93" t="n">
        <f aca="false">IFERROR(J52*L52,"")</f>
        <v>7.50904</v>
      </c>
      <c r="O52" s="94" t="s">
        <v>990</v>
      </c>
      <c r="P52" s="1" t="n">
        <f aca="false">IFERROR(IF(LEFT(D52,1)="K",VLOOKUP(D52,Kit_Catalog!$A:$K,8,FALSE()),VLOOKUP(D52,Additional_Supply_Catalog!$A:$K,7,FALSE())),"")</f>
        <v>426.65</v>
      </c>
      <c r="Q52" s="1" t="n">
        <f aca="false">IFERROR(IF(LEFT(D52,1)="K",VLOOKUP(D52,Kit_Catalog!$A:$K,7,FALSE()),VLOOKUP(D52,Additional_Supply_Catalog!$A:$K,8,FALSE())),"")</f>
        <v>500</v>
      </c>
      <c r="R52" s="1" t="str">
        <f aca="false">IFERROR(IF(LEFT(D52,1)="K","rxn",VLOOKUP(D52,Additional_Supply_Catalog!$A:$K,9,FALSE())),"")</f>
        <v>sample</v>
      </c>
    </row>
    <row r="53" customFormat="false" ht="15" hidden="false" customHeight="true" outlineLevel="0" collapsed="false">
      <c r="A53" s="85" t="s">
        <v>1010</v>
      </c>
      <c r="B53" s="85" t="s">
        <v>901</v>
      </c>
      <c r="C53" s="85" t="s">
        <v>1007</v>
      </c>
      <c r="D53" s="85" t="s">
        <v>579</v>
      </c>
      <c r="E53" s="85" t="s">
        <v>29</v>
      </c>
      <c r="F53" s="86" t="n">
        <v>1</v>
      </c>
      <c r="G53" s="85" t="s">
        <v>548</v>
      </c>
      <c r="H53" s="87" t="n">
        <f aca="false">Inputs!$B$20</f>
        <v>0.1</v>
      </c>
      <c r="I53" s="88" t="n">
        <f aca="false">VLOOKUP(E53,Inputs!$D$5:$E$23,2,FALSE())</f>
        <v>8</v>
      </c>
      <c r="J53" s="89" t="n">
        <f aca="false">F53*I53*(1+H53)</f>
        <v>8.8</v>
      </c>
      <c r="K53" s="90" t="n">
        <f aca="false">IF(ISNUMBER(MATCH(G53,{"tube","each","plate","vial","kit","bottle","aliquot","strainer","cap","lane-rxn","tip","strip","lane","channel","library","sample"},0)),ROUNDUP(J53,0),ROUND(J53,2))</f>
        <v>9</v>
      </c>
      <c r="L53" s="91" t="n">
        <f aca="false">IFERROR(IF(OR(D53="",P53="",Q53="",Q53=0),"",IF(VLOOKUP(R53,Unit_Conversions!$A$5:$C$28,3,FALSE())=VLOOKUP(G53,Unit_Conversions!$A$5:$C$28,3,FALSE()),P53*VLOOKUP(G53,Unit_Conversions!$A$5:$C$28,2,FALSE())/(Q53*VLOOKUP(R53,Unit_Conversions!$A$5:$C$28,2,FALSE())),"")),"")</f>
        <v>0.27</v>
      </c>
      <c r="M53" s="92" t="n">
        <f aca="false">IFERROR(F53*L53,"")</f>
        <v>0.27</v>
      </c>
      <c r="N53" s="93" t="n">
        <f aca="false">IFERROR(J53*L53,"")</f>
        <v>2.376</v>
      </c>
      <c r="O53" s="94" t="s">
        <v>996</v>
      </c>
      <c r="P53" s="1" t="n">
        <f aca="false">IFERROR(IF(LEFT(D53,1)="K",VLOOKUP(D53,Kit_Catalog!$A:$K,8,FALSE()),VLOOKUP(D53,Additional_Supply_Catalog!$A:$K,7,FALSE())),"")</f>
        <v>135</v>
      </c>
      <c r="Q53" s="1" t="n">
        <f aca="false">IFERROR(IF(LEFT(D53,1)="K",VLOOKUP(D53,Kit_Catalog!$A:$K,7,FALSE()),VLOOKUP(D53,Additional_Supply_Catalog!$A:$K,8,FALSE())),"")</f>
        <v>500</v>
      </c>
      <c r="R53" s="1" t="str">
        <f aca="false">IFERROR(IF(LEFT(D53,1)="K","rxn",VLOOKUP(D53,Additional_Supply_Catalog!$A:$K,9,FALSE())),"")</f>
        <v>tube</v>
      </c>
    </row>
    <row r="54" customFormat="false" ht="15" hidden="false" customHeight="true" outlineLevel="0" collapsed="false">
      <c r="A54" s="85" t="s">
        <v>1010</v>
      </c>
      <c r="B54" s="85" t="s">
        <v>901</v>
      </c>
      <c r="C54" s="85" t="s">
        <v>993</v>
      </c>
      <c r="D54" s="85" t="s">
        <v>557</v>
      </c>
      <c r="E54" s="85" t="s">
        <v>29</v>
      </c>
      <c r="F54" s="86" t="n">
        <v>0.125</v>
      </c>
      <c r="G54" s="85" t="s">
        <v>562</v>
      </c>
      <c r="H54" s="87" t="n">
        <f aca="false">Inputs!$B$20</f>
        <v>0.1</v>
      </c>
      <c r="I54" s="88" t="n">
        <f aca="false">VLOOKUP(E54,Inputs!$D$5:$E$23,2,FALSE())</f>
        <v>8</v>
      </c>
      <c r="J54" s="89" t="n">
        <f aca="false">F54*I54*(1+H54)</f>
        <v>1.1</v>
      </c>
      <c r="K54" s="90" t="n">
        <f aca="false">IF(ISNUMBER(MATCH(G54,{"tube","each","plate","vial","kit","bottle","aliquot","strainer","cap","lane-rxn","tip","strip","lane","channel","library","sample"},0)),ROUNDUP(J54,0),ROUND(J54,2))</f>
        <v>2</v>
      </c>
      <c r="L54" s="91" t="n">
        <f aca="false">IFERROR(IF(OR(D54="",P54="",Q54="",Q54=0),"",IF(VLOOKUP(R54,Unit_Conversions!$A$5:$C$28,3,FALSE())=VLOOKUP(G54,Unit_Conversions!$A$5:$C$28,3,FALSE()),P54*VLOOKUP(G54,Unit_Conversions!$A$5:$C$28,2,FALSE())/(Q54*VLOOKUP(R54,Unit_Conversions!$A$5:$C$28,2,FALSE())),"")),"")</f>
        <v>0.7804</v>
      </c>
      <c r="M54" s="92" t="n">
        <f aca="false">IFERROR(F54*L54,"")</f>
        <v>0.09755</v>
      </c>
      <c r="N54" s="93" t="n">
        <f aca="false">IFERROR(J54*L54,"")</f>
        <v>0.85844</v>
      </c>
      <c r="O54" s="94" t="s">
        <v>994</v>
      </c>
      <c r="P54" s="1" t="n">
        <f aca="false">IFERROR(IF(LEFT(D54,1)="K",VLOOKUP(D54,Kit_Catalog!$A:$K,8,FALSE()),VLOOKUP(D54,Additional_Supply_Catalog!$A:$K,7,FALSE())),"")</f>
        <v>97.55</v>
      </c>
      <c r="Q54" s="1" t="n">
        <f aca="false">IFERROR(IF(LEFT(D54,1)="K",VLOOKUP(D54,Kit_Catalog!$A:$K,7,FALSE()),VLOOKUP(D54,Additional_Supply_Catalog!$A:$K,8,FALSE())),"")</f>
        <v>125</v>
      </c>
      <c r="R54" s="1" t="str">
        <f aca="false">IFERROR(IF(LEFT(D54,1)="K","rxn",VLOOKUP(D54,Additional_Supply_Catalog!$A:$K,9,FALSE())),"")</f>
        <v>strip</v>
      </c>
    </row>
    <row r="55" customFormat="false" ht="15" hidden="false" customHeight="true" outlineLevel="0" collapsed="false">
      <c r="A55" s="85" t="s">
        <v>1010</v>
      </c>
      <c r="B55" s="85" t="s">
        <v>901</v>
      </c>
      <c r="C55" s="85" t="s">
        <v>997</v>
      </c>
      <c r="D55" s="85" t="s">
        <v>536</v>
      </c>
      <c r="E55" s="85" t="s">
        <v>29</v>
      </c>
      <c r="F55" s="86" t="n">
        <v>3</v>
      </c>
      <c r="G55" s="85" t="s">
        <v>534</v>
      </c>
      <c r="H55" s="87" t="n">
        <f aca="false">Inputs!$B$20</f>
        <v>0.1</v>
      </c>
      <c r="I55" s="88" t="n">
        <f aca="false">VLOOKUP(E55,Inputs!$D$5:$E$23,2,FALSE())</f>
        <v>8</v>
      </c>
      <c r="J55" s="89" t="n">
        <f aca="false">F55*I55*(1+H55)</f>
        <v>26.4</v>
      </c>
      <c r="K55" s="90" t="n">
        <f aca="false">IF(ISNUMBER(MATCH(G55,{"tube","each","plate","vial","kit","bottle","aliquot","strainer","cap","lane-rxn","tip","strip","lane","channel","library","sample"},0)),ROUNDUP(J55,0),ROUND(J55,2))</f>
        <v>27</v>
      </c>
      <c r="L55" s="91" t="n">
        <f aca="false">IFERROR(IF(OR(D55="",P55="",Q55="",Q55=0),"",IF(VLOOKUP(R55,Unit_Conversions!$A$5:$C$28,3,FALSE())=VLOOKUP(G55,Unit_Conversions!$A$5:$C$28,3,FALSE()),P55*VLOOKUP(G55,Unit_Conversions!$A$5:$C$28,2,FALSE())/(Q55*VLOOKUP(R55,Unit_Conversions!$A$5:$C$28,2,FALSE())),"")),"")</f>
        <v>0.0187916666666667</v>
      </c>
      <c r="M55" s="92" t="n">
        <f aca="false">IFERROR(F55*L55,"")</f>
        <v>0.056375</v>
      </c>
      <c r="N55" s="93" t="n">
        <f aca="false">IFERROR(J55*L55,"")</f>
        <v>0.4961</v>
      </c>
      <c r="O55" s="94" t="s">
        <v>996</v>
      </c>
      <c r="P55" s="1" t="n">
        <f aca="false">IFERROR(IF(LEFT(D55,1)="K",VLOOKUP(D55,Kit_Catalog!$A:$K,8,FALSE()),VLOOKUP(D55,Additional_Supply_Catalog!$A:$K,7,FALSE())),"")</f>
        <v>180.4</v>
      </c>
      <c r="Q55" s="1" t="n">
        <f aca="false">IFERROR(IF(LEFT(D55,1)="K",VLOOKUP(D55,Kit_Catalog!$A:$K,7,FALSE()),VLOOKUP(D55,Additional_Supply_Catalog!$A:$K,8,FALSE())),"")</f>
        <v>9600</v>
      </c>
      <c r="R55" s="1" t="str">
        <f aca="false">IFERROR(IF(LEFT(D55,1)="K","rxn",VLOOKUP(D55,Additional_Supply_Catalog!$A:$K,9,FALSE())),"")</f>
        <v>tip</v>
      </c>
    </row>
    <row r="56" customFormat="false" ht="15" hidden="false" customHeight="true" outlineLevel="0" collapsed="false">
      <c r="A56" s="85" t="s">
        <v>1010</v>
      </c>
      <c r="B56" s="85" t="s">
        <v>901</v>
      </c>
      <c r="C56" s="85" t="s">
        <v>998</v>
      </c>
      <c r="D56" s="85" t="s">
        <v>540</v>
      </c>
      <c r="E56" s="85" t="s">
        <v>29</v>
      </c>
      <c r="F56" s="86" t="n">
        <v>1</v>
      </c>
      <c r="G56" s="85" t="s">
        <v>534</v>
      </c>
      <c r="H56" s="87" t="n">
        <f aca="false">Inputs!$B$20</f>
        <v>0.1</v>
      </c>
      <c r="I56" s="88" t="n">
        <f aca="false">VLOOKUP(E56,Inputs!$D$5:$E$23,2,FALSE())</f>
        <v>8</v>
      </c>
      <c r="J56" s="89" t="n">
        <f aca="false">F56*I56*(1+H56)</f>
        <v>8.8</v>
      </c>
      <c r="K56" s="90" t="n">
        <f aca="false">IF(ISNUMBER(MATCH(G56,{"tube","each","plate","vial","kit","bottle","aliquot","strainer","cap","lane-rxn","tip","strip","lane","channel","library","sample"},0)),ROUNDUP(J56,0),ROUND(J56,2))</f>
        <v>9</v>
      </c>
      <c r="L56" s="91" t="n">
        <f aca="false">IFERROR(IF(OR(D56="",P56="",Q56="",Q56=0),"",IF(VLOOKUP(R56,Unit_Conversions!$A$5:$C$28,3,FALSE())=VLOOKUP(G56,Unit_Conversions!$A$5:$C$28,3,FALSE()),P56*VLOOKUP(G56,Unit_Conversions!$A$5:$C$28,2,FALSE())/(Q56*VLOOKUP(R56,Unit_Conversions!$A$5:$C$28,2,FALSE())),"")),"")</f>
        <v>0.0187916666666667</v>
      </c>
      <c r="M56" s="92" t="n">
        <f aca="false">IFERROR(F56*L56,"")</f>
        <v>0.0187916666666667</v>
      </c>
      <c r="N56" s="93" t="n">
        <f aca="false">IFERROR(J56*L56,"")</f>
        <v>0.165366666666667</v>
      </c>
      <c r="O56" s="94" t="s">
        <v>996</v>
      </c>
      <c r="P56" s="1" t="n">
        <f aca="false">IFERROR(IF(LEFT(D56,1)="K",VLOOKUP(D56,Kit_Catalog!$A:$K,8,FALSE()),VLOOKUP(D56,Additional_Supply_Catalog!$A:$K,7,FALSE())),"")</f>
        <v>180.4</v>
      </c>
      <c r="Q56" s="1" t="n">
        <f aca="false">IFERROR(IF(LEFT(D56,1)="K",VLOOKUP(D56,Kit_Catalog!$A:$K,7,FALSE()),VLOOKUP(D56,Additional_Supply_Catalog!$A:$K,8,FALSE())),"")</f>
        <v>9600</v>
      </c>
      <c r="R56" s="1" t="str">
        <f aca="false">IFERROR(IF(LEFT(D56,1)="K","rxn",VLOOKUP(D56,Additional_Supply_Catalog!$A:$K,9,FALSE())),"")</f>
        <v>tip</v>
      </c>
    </row>
    <row r="57" customFormat="false" ht="15" hidden="false" customHeight="true" outlineLevel="0" collapsed="false">
      <c r="A57" s="85" t="s">
        <v>1010</v>
      </c>
      <c r="B57" s="85" t="s">
        <v>901</v>
      </c>
      <c r="C57" s="85" t="s">
        <v>999</v>
      </c>
      <c r="D57" s="85" t="s">
        <v>544</v>
      </c>
      <c r="E57" s="85" t="s">
        <v>29</v>
      </c>
      <c r="F57" s="86" t="n">
        <v>1</v>
      </c>
      <c r="G57" s="85" t="s">
        <v>548</v>
      </c>
      <c r="H57" s="87" t="n">
        <f aca="false">Inputs!$B$20</f>
        <v>0.1</v>
      </c>
      <c r="I57" s="88" t="n">
        <f aca="false">VLOOKUP(E57,Inputs!$D$5:$E$23,2,FALSE())</f>
        <v>8</v>
      </c>
      <c r="J57" s="89" t="n">
        <f aca="false">F57*I57*(1+H57)</f>
        <v>8.8</v>
      </c>
      <c r="K57" s="90" t="n">
        <f aca="false">IF(ISNUMBER(MATCH(G57,{"tube","each","plate","vial","kit","bottle","aliquot","strainer","cap","lane-rxn","tip","strip","lane","channel","library","sample"},0)),ROUNDUP(J57,0),ROUND(J57,2))</f>
        <v>9</v>
      </c>
      <c r="L57" s="91" t="n">
        <f aca="false">IFERROR(IF(OR(D57="",P57="",Q57="",Q57=0),"",IF(VLOOKUP(R57,Unit_Conversions!$A$5:$C$28,3,FALSE())=VLOOKUP(G57,Unit_Conversions!$A$5:$C$28,3,FALSE()),P57*VLOOKUP(G57,Unit_Conversions!$A$5:$C$28,2,FALSE())/(Q57*VLOOKUP(R57,Unit_Conversions!$A$5:$C$28,2,FALSE())),"")),"")</f>
        <v>0.17956</v>
      </c>
      <c r="M57" s="92" t="n">
        <f aca="false">IFERROR(F57*L57,"")</f>
        <v>0.17956</v>
      </c>
      <c r="N57" s="93" t="n">
        <f aca="false">IFERROR(J57*L57,"")</f>
        <v>1.580128</v>
      </c>
      <c r="O57" s="94" t="s">
        <v>996</v>
      </c>
      <c r="P57" s="1" t="n">
        <f aca="false">IFERROR(IF(LEFT(D57,1)="K",VLOOKUP(D57,Kit_Catalog!$A:$K,8,FALSE()),VLOOKUP(D57,Additional_Supply_Catalog!$A:$K,7,FALSE())),"")</f>
        <v>44.89</v>
      </c>
      <c r="Q57" s="1" t="n">
        <f aca="false">IFERROR(IF(LEFT(D57,1)="K",VLOOKUP(D57,Kit_Catalog!$A:$K,7,FALSE()),VLOOKUP(D57,Additional_Supply_Catalog!$A:$K,8,FALSE())),"")</f>
        <v>250</v>
      </c>
      <c r="R57" s="1" t="str">
        <f aca="false">IFERROR(IF(LEFT(D57,1)="K","rxn",VLOOKUP(D57,Additional_Supply_Catalog!$A:$K,9,FALSE())),"")</f>
        <v>tube</v>
      </c>
    </row>
    <row r="58" customFormat="false" ht="15" hidden="false" customHeight="true" outlineLevel="0" collapsed="false">
      <c r="A58" s="85" t="s">
        <v>1010</v>
      </c>
      <c r="B58" s="85" t="s">
        <v>901</v>
      </c>
      <c r="C58" s="85" t="s">
        <v>1008</v>
      </c>
      <c r="D58" s="85" t="s">
        <v>388</v>
      </c>
      <c r="E58" s="85" t="s">
        <v>29</v>
      </c>
      <c r="F58" s="86" t="n">
        <v>1</v>
      </c>
      <c r="G58" s="85" t="s">
        <v>1005</v>
      </c>
      <c r="H58" s="87" t="n">
        <f aca="false">Inputs!$B$20</f>
        <v>0.1</v>
      </c>
      <c r="I58" s="88" t="n">
        <f aca="false">VLOOKUP(E58,Inputs!$D$5:$E$23,2,FALSE())</f>
        <v>8</v>
      </c>
      <c r="J58" s="89" t="n">
        <f aca="false">F58*I58*(1+H58)</f>
        <v>8.8</v>
      </c>
      <c r="K58" s="90" t="n">
        <f aca="false">IF(ISNUMBER(MATCH(G58,{"tube","each","plate","vial","kit","bottle","aliquot","strainer","cap","lane-rxn","tip","strip","lane","channel","library","sample"},0)),ROUNDUP(J58,0),ROUND(J58,2))</f>
        <v>9</v>
      </c>
      <c r="L58" s="91" t="str">
        <f aca="false">IFERROR(IF(OR(D58="",P58="",Q58="",Q58=0),"",IF(VLOOKUP(R58,Unit_Conversions!$A$5:$C$28,3,FALSE())=VLOOKUP(G58,Unit_Conversions!$A$5:$C$28,3,FALSE()),P58*VLOOKUP(G58,Unit_Conversions!$A$5:$C$28,2,FALSE())/(Q58*VLOOKUP(R58,Unit_Conversions!$A$5:$C$28,2,FALSE())),"")),"")</f>
        <v/>
      </c>
      <c r="M58" s="92" t="str">
        <f aca="false">IFERROR(F58*L58,"")</f>
        <v/>
      </c>
      <c r="N58" s="93" t="str">
        <f aca="false">IFERROR(J58*L58,"")</f>
        <v/>
      </c>
      <c r="O58" s="94" t="s">
        <v>1000</v>
      </c>
      <c r="P58" s="1" t="n">
        <f aca="false">IFERROR(IF(LEFT(D58,1)="K",VLOOKUP(D58,Kit_Catalog!$A:$K,8,FALSE()),VLOOKUP(D58,Additional_Supply_Catalog!$A:$K,7,FALSE())),"")</f>
        <v>0</v>
      </c>
      <c r="Q58" s="1" t="n">
        <f aca="false">IFERROR(IF(LEFT(D58,1)="K",VLOOKUP(D58,Kit_Catalog!$A:$K,7,FALSE()),VLOOKUP(D58,Additional_Supply_Catalog!$A:$K,8,FALSE())),"")</f>
        <v>0</v>
      </c>
      <c r="R58" s="1" t="n">
        <f aca="false">IFERROR(IF(LEFT(D58,1)="K","rxn",VLOOKUP(D58,Additional_Supply_Catalog!$A:$K,9,FALSE())),"")</f>
        <v>0</v>
      </c>
    </row>
    <row r="59" customFormat="false" ht="15" hidden="false" customHeight="true" outlineLevel="0" collapsed="false">
      <c r="A59" s="96" t="s">
        <v>1011</v>
      </c>
      <c r="B59" s="96" t="s">
        <v>901</v>
      </c>
      <c r="C59" s="96" t="s">
        <v>354</v>
      </c>
      <c r="D59" s="96" t="s">
        <v>353</v>
      </c>
      <c r="E59" s="96" t="s">
        <v>33</v>
      </c>
      <c r="F59" s="97" t="n">
        <v>0.102</v>
      </c>
      <c r="G59" s="96" t="s">
        <v>337</v>
      </c>
      <c r="H59" s="98" t="n">
        <f aca="false">Inputs!$B$20</f>
        <v>0.1</v>
      </c>
      <c r="I59" s="99" t="n">
        <f aca="false">VLOOKUP(E59,Inputs!$D$5:$E$23,2,FALSE())</f>
        <v>2</v>
      </c>
      <c r="J59" s="100" t="n">
        <f aca="false">F59*I59*(1+H59)</f>
        <v>0.2244</v>
      </c>
      <c r="K59" s="101" t="n">
        <f aca="false">IF(ISNUMBER(MATCH(G59,{"tube","each","plate","vial","kit","bottle","aliquot","strainer","cap","lane-rxn","tip","strip","lane","channel","library","sample"},0)),ROUNDUP(J59,0),ROUND(J59,2))</f>
        <v>0.22</v>
      </c>
      <c r="L59" s="91" t="n">
        <f aca="false">IFERROR(IF(OR(D59="",P59="",Q59="",Q59=0),"",IF(VLOOKUP(R59,Unit_Conversions!$A$5:$C$28,3,FALSE())=VLOOKUP(G59,Unit_Conversions!$A$5:$C$28,3,FALSE()),P59*VLOOKUP(G59,Unit_Conversions!$A$5:$C$28,2,FALSE())/(Q59*VLOOKUP(R59,Unit_Conversions!$A$5:$C$28,2,FALSE())),"")),"")</f>
        <v>0.1996</v>
      </c>
      <c r="M59" s="92" t="n">
        <f aca="false">IFERROR(F59*L59,"")</f>
        <v>0.0203592</v>
      </c>
      <c r="N59" s="93" t="n">
        <f aca="false">IFERROR(J59*L59,"")</f>
        <v>0.04479024</v>
      </c>
      <c r="O59" s="102" t="s">
        <v>990</v>
      </c>
      <c r="P59" s="1" t="n">
        <f aca="false">IFERROR(IF(LEFT(D59,1)="K",VLOOKUP(D59,Kit_Catalog!$A:$K,8,FALSE()),VLOOKUP(D59,Additional_Supply_Catalog!$A:$K,7,FALSE())),"")</f>
        <v>49.9</v>
      </c>
      <c r="Q59" s="1" t="n">
        <f aca="false">IFERROR(IF(LEFT(D59,1)="K",VLOOKUP(D59,Kit_Catalog!$A:$K,7,FALSE()),VLOOKUP(D59,Additional_Supply_Catalog!$A:$K,8,FALSE())),"")</f>
        <v>250</v>
      </c>
      <c r="R59" s="1" t="str">
        <f aca="false">IFERROR(IF(LEFT(D59,1)="K","rxn",VLOOKUP(D59,Additional_Supply_Catalog!$A:$K,9,FALSE())),"")</f>
        <v>mL</v>
      </c>
    </row>
    <row r="60" customFormat="false" ht="15" hidden="false" customHeight="true" outlineLevel="0" collapsed="false">
      <c r="A60" s="96" t="s">
        <v>1011</v>
      </c>
      <c r="B60" s="96" t="s">
        <v>901</v>
      </c>
      <c r="C60" s="96" t="s">
        <v>991</v>
      </c>
      <c r="D60" s="96" t="s">
        <v>346</v>
      </c>
      <c r="E60" s="96" t="s">
        <v>33</v>
      </c>
      <c r="F60" s="97" t="n">
        <v>1.1</v>
      </c>
      <c r="G60" s="96" t="s">
        <v>337</v>
      </c>
      <c r="H60" s="98" t="n">
        <f aca="false">Inputs!$B$20</f>
        <v>0.1</v>
      </c>
      <c r="I60" s="99" t="n">
        <f aca="false">VLOOKUP(E60,Inputs!$D$5:$E$23,2,FALSE())</f>
        <v>2</v>
      </c>
      <c r="J60" s="100" t="n">
        <f aca="false">F60*I60*(1+H60)</f>
        <v>2.42</v>
      </c>
      <c r="K60" s="101" t="n">
        <f aca="false">IF(ISNUMBER(MATCH(G60,{"tube","each","plate","vial","kit","bottle","aliquot","strainer","cap","lane-rxn","tip","strip","lane","channel","library","sample"},0)),ROUNDUP(J60,0),ROUND(J60,2))</f>
        <v>2.42</v>
      </c>
      <c r="L60" s="91" t="n">
        <f aca="false">IFERROR(IF(OR(D60="",P60="",Q60="",Q60=0),"",IF(VLOOKUP(R60,Unit_Conversions!$A$5:$C$28,3,FALSE())=VLOOKUP(G60,Unit_Conversions!$A$5:$C$28,3,FALSE()),P60*VLOOKUP(G60,Unit_Conversions!$A$5:$C$28,2,FALSE())/(Q60*VLOOKUP(R60,Unit_Conversions!$A$5:$C$28,2,FALSE())),"")),"")</f>
        <v>0.218</v>
      </c>
      <c r="M60" s="92" t="n">
        <f aca="false">IFERROR(F60*L60,"")</f>
        <v>0.2398</v>
      </c>
      <c r="N60" s="93" t="n">
        <f aca="false">IFERROR(J60*L60,"")</f>
        <v>0.52756</v>
      </c>
      <c r="O60" s="102" t="s">
        <v>990</v>
      </c>
      <c r="P60" s="1" t="n">
        <f aca="false">IFERROR(IF(LEFT(D60,1)="K",VLOOKUP(D60,Kit_Catalog!$A:$K,8,FALSE()),VLOOKUP(D60,Additional_Supply_Catalog!$A:$K,7,FALSE())),"")</f>
        <v>109</v>
      </c>
      <c r="Q60" s="1" t="n">
        <f aca="false">IFERROR(IF(LEFT(D60,1)="K",VLOOKUP(D60,Kit_Catalog!$A:$K,7,FALSE()),VLOOKUP(D60,Additional_Supply_Catalog!$A:$K,8,FALSE())),"")</f>
        <v>500</v>
      </c>
      <c r="R60" s="1" t="str">
        <f aca="false">IFERROR(IF(LEFT(D60,1)="K","rxn",VLOOKUP(D60,Additional_Supply_Catalog!$A:$K,9,FALSE())),"")</f>
        <v>mL</v>
      </c>
    </row>
    <row r="61" customFormat="false" ht="15" hidden="false" customHeight="true" outlineLevel="0" collapsed="false">
      <c r="A61" s="96" t="s">
        <v>1011</v>
      </c>
      <c r="B61" s="96" t="s">
        <v>901</v>
      </c>
      <c r="C61" s="96" t="s">
        <v>992</v>
      </c>
      <c r="D61" s="96" t="s">
        <v>360</v>
      </c>
      <c r="E61" s="96" t="s">
        <v>33</v>
      </c>
      <c r="F61" s="97" t="n">
        <v>0.349</v>
      </c>
      <c r="G61" s="96" t="s">
        <v>337</v>
      </c>
      <c r="H61" s="98" t="n">
        <f aca="false">Inputs!$B$20</f>
        <v>0.1</v>
      </c>
      <c r="I61" s="99" t="n">
        <f aca="false">VLOOKUP(E61,Inputs!$D$5:$E$23,2,FALSE())</f>
        <v>2</v>
      </c>
      <c r="J61" s="100" t="n">
        <f aca="false">F61*I61*(1+H61)</f>
        <v>0.7678</v>
      </c>
      <c r="K61" s="101" t="n">
        <f aca="false">IF(ISNUMBER(MATCH(G61,{"tube","each","plate","vial","kit","bottle","aliquot","strainer","cap","lane-rxn","tip","strip","lane","channel","library","sample"},0)),ROUNDUP(J61,0),ROUND(J61,2))</f>
        <v>0.77</v>
      </c>
      <c r="L61" s="91" t="n">
        <f aca="false">IFERROR(IF(OR(D61="",P61="",Q61="",Q61=0),"",IF(VLOOKUP(R61,Unit_Conversions!$A$5:$C$28,3,FALSE())=VLOOKUP(G61,Unit_Conversions!$A$5:$C$28,3,FALSE()),P61*VLOOKUP(G61,Unit_Conversions!$A$5:$C$28,2,FALSE())/(Q61*VLOOKUP(R61,Unit_Conversions!$A$5:$C$28,2,FALSE())),"")),"")</f>
        <v>27.265</v>
      </c>
      <c r="M61" s="92" t="n">
        <f aca="false">IFERROR(F61*L61,"")</f>
        <v>9.515485</v>
      </c>
      <c r="N61" s="93" t="n">
        <f aca="false">IFERROR(J61*L61,"")</f>
        <v>20.934067</v>
      </c>
      <c r="O61" s="102" t="s">
        <v>990</v>
      </c>
      <c r="P61" s="1" t="n">
        <f aca="false">IFERROR(IF(LEFT(D61,1)="K",VLOOKUP(D61,Kit_Catalog!$A:$K,8,FALSE()),VLOOKUP(D61,Additional_Supply_Catalog!$A:$K,7,FALSE())),"")</f>
        <v>1635.9</v>
      </c>
      <c r="Q61" s="1" t="n">
        <f aca="false">IFERROR(IF(LEFT(D61,1)="K",VLOOKUP(D61,Kit_Catalog!$A:$K,7,FALSE()),VLOOKUP(D61,Additional_Supply_Catalog!$A:$K,8,FALSE())),"")</f>
        <v>60</v>
      </c>
      <c r="R61" s="1" t="str">
        <f aca="false">IFERROR(IF(LEFT(D61,1)="K","rxn",VLOOKUP(D61,Additional_Supply_Catalog!$A:$K,9,FALSE())),"")</f>
        <v>mL</v>
      </c>
    </row>
    <row r="62" customFormat="false" ht="15" hidden="false" customHeight="true" outlineLevel="0" collapsed="false">
      <c r="A62" s="96" t="s">
        <v>1011</v>
      </c>
      <c r="B62" s="96" t="s">
        <v>901</v>
      </c>
      <c r="C62" s="96" t="s">
        <v>1004</v>
      </c>
      <c r="D62" s="96" t="s">
        <v>375</v>
      </c>
      <c r="E62" s="96" t="s">
        <v>33</v>
      </c>
      <c r="F62" s="97" t="n">
        <v>1</v>
      </c>
      <c r="G62" s="96" t="s">
        <v>1005</v>
      </c>
      <c r="H62" s="98" t="n">
        <f aca="false">Inputs!$B$20</f>
        <v>0.1</v>
      </c>
      <c r="I62" s="99" t="n">
        <f aca="false">VLOOKUP(E62,Inputs!$D$5:$E$23,2,FALSE())</f>
        <v>2</v>
      </c>
      <c r="J62" s="100" t="n">
        <f aca="false">F62*I62*(1+H62)</f>
        <v>2.2</v>
      </c>
      <c r="K62" s="101" t="n">
        <f aca="false">IF(ISNUMBER(MATCH(G62,{"tube","each","plate","vial","kit","bottle","aliquot","strainer","cap","lane-rxn","tip","strip","lane","channel","library","sample"},0)),ROUNDUP(J62,0),ROUND(J62,2))</f>
        <v>3</v>
      </c>
      <c r="L62" s="91" t="str">
        <f aca="false">IFERROR(IF(OR(D62="",P62="",Q62="",Q62=0),"",IF(VLOOKUP(R62,Unit_Conversions!$A$5:$C$28,3,FALSE())=VLOOKUP(G62,Unit_Conversions!$A$5:$C$28,3,FALSE()),P62*VLOOKUP(G62,Unit_Conversions!$A$5:$C$28,2,FALSE())/(Q62*VLOOKUP(R62,Unit_Conversions!$A$5:$C$28,2,FALSE())),"")),"")</f>
        <v/>
      </c>
      <c r="M62" s="92" t="str">
        <f aca="false">IFERROR(F62*L62,"")</f>
        <v/>
      </c>
      <c r="N62" s="93" t="str">
        <f aca="false">IFERROR(J62*L62,"")</f>
        <v/>
      </c>
      <c r="O62" s="102" t="s">
        <v>996</v>
      </c>
      <c r="P62" s="1" t="n">
        <f aca="false">IFERROR(IF(LEFT(D62,1)="K",VLOOKUP(D62,Kit_Catalog!$A:$K,8,FALSE()),VLOOKUP(D62,Additional_Supply_Catalog!$A:$K,7,FALSE())),"")</f>
        <v>606.25</v>
      </c>
      <c r="Q62" s="1" t="n">
        <f aca="false">IFERROR(IF(LEFT(D62,1)="K",VLOOKUP(D62,Kit_Catalog!$A:$K,7,FALSE()),VLOOKUP(D62,Additional_Supply_Catalog!$A:$K,8,FALSE())),"")</f>
        <v>1</v>
      </c>
      <c r="R62" s="1" t="str">
        <f aca="false">IFERROR(IF(LEFT(D62,1)="K","rxn",VLOOKUP(D62,Additional_Supply_Catalog!$A:$K,9,FALSE())),"")</f>
        <v>kit</v>
      </c>
    </row>
    <row r="63" customFormat="false" ht="15" hidden="false" customHeight="true" outlineLevel="0" collapsed="false">
      <c r="A63" s="96" t="s">
        <v>1011</v>
      </c>
      <c r="B63" s="96" t="s">
        <v>901</v>
      </c>
      <c r="C63" s="96" t="s">
        <v>1006</v>
      </c>
      <c r="D63" s="96" t="s">
        <v>367</v>
      </c>
      <c r="E63" s="96" t="s">
        <v>33</v>
      </c>
      <c r="F63" s="97" t="n">
        <v>1</v>
      </c>
      <c r="G63" s="96" t="s">
        <v>1005</v>
      </c>
      <c r="H63" s="98" t="n">
        <f aca="false">Inputs!$B$20</f>
        <v>0.1</v>
      </c>
      <c r="I63" s="99" t="n">
        <f aca="false">VLOOKUP(E63,Inputs!$D$5:$E$23,2,FALSE())</f>
        <v>2</v>
      </c>
      <c r="J63" s="100" t="n">
        <f aca="false">F63*I63*(1+H63)</f>
        <v>2.2</v>
      </c>
      <c r="K63" s="101" t="n">
        <f aca="false">IF(ISNUMBER(MATCH(G63,{"tube","each","plate","vial","kit","bottle","aliquot","strainer","cap","lane-rxn","tip","strip","lane","channel","library","sample"},0)),ROUNDUP(J63,0),ROUND(J63,2))</f>
        <v>3</v>
      </c>
      <c r="L63" s="91" t="n">
        <f aca="false">IFERROR(IF(OR(D63="",P63="",Q63="",Q63=0),"",IF(VLOOKUP(R63,Unit_Conversions!$A$5:$C$28,3,FALSE())=VLOOKUP(G63,Unit_Conversions!$A$5:$C$28,3,FALSE()),P63*VLOOKUP(G63,Unit_Conversions!$A$5:$C$28,2,FALSE())/(Q63*VLOOKUP(R63,Unit_Conversions!$A$5:$C$28,2,FALSE())),"")),"")</f>
        <v>0.8533</v>
      </c>
      <c r="M63" s="92" t="n">
        <f aca="false">IFERROR(F63*L63,"")</f>
        <v>0.8533</v>
      </c>
      <c r="N63" s="93" t="n">
        <f aca="false">IFERROR(J63*L63,"")</f>
        <v>1.87726</v>
      </c>
      <c r="O63" s="102" t="s">
        <v>990</v>
      </c>
      <c r="P63" s="1" t="n">
        <f aca="false">IFERROR(IF(LEFT(D63,1)="K",VLOOKUP(D63,Kit_Catalog!$A:$K,8,FALSE()),VLOOKUP(D63,Additional_Supply_Catalog!$A:$K,7,FALSE())),"")</f>
        <v>426.65</v>
      </c>
      <c r="Q63" s="1" t="n">
        <f aca="false">IFERROR(IF(LEFT(D63,1)="K",VLOOKUP(D63,Kit_Catalog!$A:$K,7,FALSE()),VLOOKUP(D63,Additional_Supply_Catalog!$A:$K,8,FALSE())),"")</f>
        <v>500</v>
      </c>
      <c r="R63" s="1" t="str">
        <f aca="false">IFERROR(IF(LEFT(D63,1)="K","rxn",VLOOKUP(D63,Additional_Supply_Catalog!$A:$K,9,FALSE())),"")</f>
        <v>sample</v>
      </c>
    </row>
    <row r="64" customFormat="false" ht="15" hidden="false" customHeight="true" outlineLevel="0" collapsed="false">
      <c r="A64" s="96" t="s">
        <v>1011</v>
      </c>
      <c r="B64" s="96" t="s">
        <v>901</v>
      </c>
      <c r="C64" s="96" t="s">
        <v>1007</v>
      </c>
      <c r="D64" s="96" t="s">
        <v>579</v>
      </c>
      <c r="E64" s="96" t="s">
        <v>33</v>
      </c>
      <c r="F64" s="97" t="n">
        <v>1</v>
      </c>
      <c r="G64" s="96" t="s">
        <v>548</v>
      </c>
      <c r="H64" s="98" t="n">
        <f aca="false">Inputs!$B$20</f>
        <v>0.1</v>
      </c>
      <c r="I64" s="99" t="n">
        <f aca="false">VLOOKUP(E64,Inputs!$D$5:$E$23,2,FALSE())</f>
        <v>2</v>
      </c>
      <c r="J64" s="100" t="n">
        <f aca="false">F64*I64*(1+H64)</f>
        <v>2.2</v>
      </c>
      <c r="K64" s="101" t="n">
        <f aca="false">IF(ISNUMBER(MATCH(G64,{"tube","each","plate","vial","kit","bottle","aliquot","strainer","cap","lane-rxn","tip","strip","lane","channel","library","sample"},0)),ROUNDUP(J64,0),ROUND(J64,2))</f>
        <v>3</v>
      </c>
      <c r="L64" s="91" t="n">
        <f aca="false">IFERROR(IF(OR(D64="",P64="",Q64="",Q64=0),"",IF(VLOOKUP(R64,Unit_Conversions!$A$5:$C$28,3,FALSE())=VLOOKUP(G64,Unit_Conversions!$A$5:$C$28,3,FALSE()),P64*VLOOKUP(G64,Unit_Conversions!$A$5:$C$28,2,FALSE())/(Q64*VLOOKUP(R64,Unit_Conversions!$A$5:$C$28,2,FALSE())),"")),"")</f>
        <v>0.27</v>
      </c>
      <c r="M64" s="92" t="n">
        <f aca="false">IFERROR(F64*L64,"")</f>
        <v>0.27</v>
      </c>
      <c r="N64" s="93" t="n">
        <f aca="false">IFERROR(J64*L64,"")</f>
        <v>0.594</v>
      </c>
      <c r="O64" s="102" t="s">
        <v>996</v>
      </c>
      <c r="P64" s="1" t="n">
        <f aca="false">IFERROR(IF(LEFT(D64,1)="K",VLOOKUP(D64,Kit_Catalog!$A:$K,8,FALSE()),VLOOKUP(D64,Additional_Supply_Catalog!$A:$K,7,FALSE())),"")</f>
        <v>135</v>
      </c>
      <c r="Q64" s="1" t="n">
        <f aca="false">IFERROR(IF(LEFT(D64,1)="K",VLOOKUP(D64,Kit_Catalog!$A:$K,7,FALSE()),VLOOKUP(D64,Additional_Supply_Catalog!$A:$K,8,FALSE())),"")</f>
        <v>500</v>
      </c>
      <c r="R64" s="1" t="str">
        <f aca="false">IFERROR(IF(LEFT(D64,1)="K","rxn",VLOOKUP(D64,Additional_Supply_Catalog!$A:$K,9,FALSE())),"")</f>
        <v>tube</v>
      </c>
    </row>
    <row r="65" customFormat="false" ht="15" hidden="false" customHeight="true" outlineLevel="0" collapsed="false">
      <c r="A65" s="96" t="s">
        <v>1011</v>
      </c>
      <c r="B65" s="96" t="s">
        <v>901</v>
      </c>
      <c r="C65" s="96" t="s">
        <v>993</v>
      </c>
      <c r="D65" s="96" t="s">
        <v>557</v>
      </c>
      <c r="E65" s="96" t="s">
        <v>33</v>
      </c>
      <c r="F65" s="97" t="n">
        <v>0.25</v>
      </c>
      <c r="G65" s="96" t="s">
        <v>562</v>
      </c>
      <c r="H65" s="98" t="n">
        <f aca="false">Inputs!$B$20</f>
        <v>0.1</v>
      </c>
      <c r="I65" s="99" t="n">
        <f aca="false">VLOOKUP(E65,Inputs!$D$5:$E$23,2,FALSE())</f>
        <v>2</v>
      </c>
      <c r="J65" s="100" t="n">
        <f aca="false">F65*I65*(1+H65)</f>
        <v>0.55</v>
      </c>
      <c r="K65" s="101" t="n">
        <f aca="false">IF(ISNUMBER(MATCH(G65,{"tube","each","plate","vial","kit","bottle","aliquot","strainer","cap","lane-rxn","tip","strip","lane","channel","library","sample"},0)),ROUNDUP(J65,0),ROUND(J65,2))</f>
        <v>1</v>
      </c>
      <c r="L65" s="91" t="n">
        <f aca="false">IFERROR(IF(OR(D65="",P65="",Q65="",Q65=0),"",IF(VLOOKUP(R65,Unit_Conversions!$A$5:$C$28,3,FALSE())=VLOOKUP(G65,Unit_Conversions!$A$5:$C$28,3,FALSE()),P65*VLOOKUP(G65,Unit_Conversions!$A$5:$C$28,2,FALSE())/(Q65*VLOOKUP(R65,Unit_Conversions!$A$5:$C$28,2,FALSE())),"")),"")</f>
        <v>0.7804</v>
      </c>
      <c r="M65" s="92" t="n">
        <f aca="false">IFERROR(F65*L65,"")</f>
        <v>0.1951</v>
      </c>
      <c r="N65" s="93" t="n">
        <f aca="false">IFERROR(J65*L65,"")</f>
        <v>0.42922</v>
      </c>
      <c r="O65" s="102" t="s">
        <v>994</v>
      </c>
      <c r="P65" s="1" t="n">
        <f aca="false">IFERROR(IF(LEFT(D65,1)="K",VLOOKUP(D65,Kit_Catalog!$A:$K,8,FALSE()),VLOOKUP(D65,Additional_Supply_Catalog!$A:$K,7,FALSE())),"")</f>
        <v>97.55</v>
      </c>
      <c r="Q65" s="1" t="n">
        <f aca="false">IFERROR(IF(LEFT(D65,1)="K",VLOOKUP(D65,Kit_Catalog!$A:$K,7,FALSE()),VLOOKUP(D65,Additional_Supply_Catalog!$A:$K,8,FALSE())),"")</f>
        <v>125</v>
      </c>
      <c r="R65" s="1" t="str">
        <f aca="false">IFERROR(IF(LEFT(D65,1)="K","rxn",VLOOKUP(D65,Additional_Supply_Catalog!$A:$K,9,FALSE())),"")</f>
        <v>strip</v>
      </c>
    </row>
    <row r="66" customFormat="false" ht="15" hidden="false" customHeight="true" outlineLevel="0" collapsed="false">
      <c r="A66" s="96" t="s">
        <v>1011</v>
      </c>
      <c r="B66" s="96" t="s">
        <v>901</v>
      </c>
      <c r="C66" s="96" t="s">
        <v>997</v>
      </c>
      <c r="D66" s="96" t="s">
        <v>536</v>
      </c>
      <c r="E66" s="96" t="s">
        <v>33</v>
      </c>
      <c r="F66" s="97" t="n">
        <v>4</v>
      </c>
      <c r="G66" s="96" t="s">
        <v>534</v>
      </c>
      <c r="H66" s="98" t="n">
        <f aca="false">Inputs!$B$20</f>
        <v>0.1</v>
      </c>
      <c r="I66" s="99" t="n">
        <f aca="false">VLOOKUP(E66,Inputs!$D$5:$E$23,2,FALSE())</f>
        <v>2</v>
      </c>
      <c r="J66" s="100" t="n">
        <f aca="false">F66*I66*(1+H66)</f>
        <v>8.8</v>
      </c>
      <c r="K66" s="101" t="n">
        <f aca="false">IF(ISNUMBER(MATCH(G66,{"tube","each","plate","vial","kit","bottle","aliquot","strainer","cap","lane-rxn","tip","strip","lane","channel","library","sample"},0)),ROUNDUP(J66,0),ROUND(J66,2))</f>
        <v>9</v>
      </c>
      <c r="L66" s="91" t="n">
        <f aca="false">IFERROR(IF(OR(D66="",P66="",Q66="",Q66=0),"",IF(VLOOKUP(R66,Unit_Conversions!$A$5:$C$28,3,FALSE())=VLOOKUP(G66,Unit_Conversions!$A$5:$C$28,3,FALSE()),P66*VLOOKUP(G66,Unit_Conversions!$A$5:$C$28,2,FALSE())/(Q66*VLOOKUP(R66,Unit_Conversions!$A$5:$C$28,2,FALSE())),"")),"")</f>
        <v>0.0187916666666667</v>
      </c>
      <c r="M66" s="92" t="n">
        <f aca="false">IFERROR(F66*L66,"")</f>
        <v>0.0751666666666667</v>
      </c>
      <c r="N66" s="93" t="n">
        <f aca="false">IFERROR(J66*L66,"")</f>
        <v>0.165366666666667</v>
      </c>
      <c r="O66" s="102" t="s">
        <v>996</v>
      </c>
      <c r="P66" s="1" t="n">
        <f aca="false">IFERROR(IF(LEFT(D66,1)="K",VLOOKUP(D66,Kit_Catalog!$A:$K,8,FALSE()),VLOOKUP(D66,Additional_Supply_Catalog!$A:$K,7,FALSE())),"")</f>
        <v>180.4</v>
      </c>
      <c r="Q66" s="1" t="n">
        <f aca="false">IFERROR(IF(LEFT(D66,1)="K",VLOOKUP(D66,Kit_Catalog!$A:$K,7,FALSE()),VLOOKUP(D66,Additional_Supply_Catalog!$A:$K,8,FALSE())),"")</f>
        <v>9600</v>
      </c>
      <c r="R66" s="1" t="str">
        <f aca="false">IFERROR(IF(LEFT(D66,1)="K","rxn",VLOOKUP(D66,Additional_Supply_Catalog!$A:$K,9,FALSE())),"")</f>
        <v>tip</v>
      </c>
    </row>
    <row r="67" customFormat="false" ht="15" hidden="false" customHeight="true" outlineLevel="0" collapsed="false">
      <c r="A67" s="96" t="s">
        <v>1011</v>
      </c>
      <c r="B67" s="96" t="s">
        <v>901</v>
      </c>
      <c r="C67" s="96" t="s">
        <v>998</v>
      </c>
      <c r="D67" s="96" t="s">
        <v>540</v>
      </c>
      <c r="E67" s="96" t="s">
        <v>33</v>
      </c>
      <c r="F67" s="97" t="n">
        <v>2</v>
      </c>
      <c r="G67" s="96" t="s">
        <v>534</v>
      </c>
      <c r="H67" s="98" t="n">
        <f aca="false">Inputs!$B$20</f>
        <v>0.1</v>
      </c>
      <c r="I67" s="99" t="n">
        <f aca="false">VLOOKUP(E67,Inputs!$D$5:$E$23,2,FALSE())</f>
        <v>2</v>
      </c>
      <c r="J67" s="100" t="n">
        <f aca="false">F67*I67*(1+H67)</f>
        <v>4.4</v>
      </c>
      <c r="K67" s="101" t="n">
        <f aca="false">IF(ISNUMBER(MATCH(G67,{"tube","each","plate","vial","kit","bottle","aliquot","strainer","cap","lane-rxn","tip","strip","lane","channel","library","sample"},0)),ROUNDUP(J67,0),ROUND(J67,2))</f>
        <v>5</v>
      </c>
      <c r="L67" s="91" t="n">
        <f aca="false">IFERROR(IF(OR(D67="",P67="",Q67="",Q67=0),"",IF(VLOOKUP(R67,Unit_Conversions!$A$5:$C$28,3,FALSE())=VLOOKUP(G67,Unit_Conversions!$A$5:$C$28,3,FALSE()),P67*VLOOKUP(G67,Unit_Conversions!$A$5:$C$28,2,FALSE())/(Q67*VLOOKUP(R67,Unit_Conversions!$A$5:$C$28,2,FALSE())),"")),"")</f>
        <v>0.0187916666666667</v>
      </c>
      <c r="M67" s="92" t="n">
        <f aca="false">IFERROR(F67*L67,"")</f>
        <v>0.0375833333333333</v>
      </c>
      <c r="N67" s="93" t="n">
        <f aca="false">IFERROR(J67*L67,"")</f>
        <v>0.0826833333333333</v>
      </c>
      <c r="O67" s="102" t="s">
        <v>996</v>
      </c>
      <c r="P67" s="1" t="n">
        <f aca="false">IFERROR(IF(LEFT(D67,1)="K",VLOOKUP(D67,Kit_Catalog!$A:$K,8,FALSE()),VLOOKUP(D67,Additional_Supply_Catalog!$A:$K,7,FALSE())),"")</f>
        <v>180.4</v>
      </c>
      <c r="Q67" s="1" t="n">
        <f aca="false">IFERROR(IF(LEFT(D67,1)="K",VLOOKUP(D67,Kit_Catalog!$A:$K,7,FALSE()),VLOOKUP(D67,Additional_Supply_Catalog!$A:$K,8,FALSE())),"")</f>
        <v>9600</v>
      </c>
      <c r="R67" s="1" t="str">
        <f aca="false">IFERROR(IF(LEFT(D67,1)="K","rxn",VLOOKUP(D67,Additional_Supply_Catalog!$A:$K,9,FALSE())),"")</f>
        <v>tip</v>
      </c>
    </row>
    <row r="68" customFormat="false" ht="15" hidden="false" customHeight="true" outlineLevel="0" collapsed="false">
      <c r="A68" s="96" t="s">
        <v>1011</v>
      </c>
      <c r="B68" s="96" t="s">
        <v>901</v>
      </c>
      <c r="C68" s="96" t="s">
        <v>999</v>
      </c>
      <c r="D68" s="96" t="s">
        <v>544</v>
      </c>
      <c r="E68" s="96" t="s">
        <v>33</v>
      </c>
      <c r="F68" s="97" t="n">
        <v>1</v>
      </c>
      <c r="G68" s="96" t="s">
        <v>548</v>
      </c>
      <c r="H68" s="98" t="n">
        <f aca="false">Inputs!$B$20</f>
        <v>0.1</v>
      </c>
      <c r="I68" s="99" t="n">
        <f aca="false">VLOOKUP(E68,Inputs!$D$5:$E$23,2,FALSE())</f>
        <v>2</v>
      </c>
      <c r="J68" s="100" t="n">
        <f aca="false">F68*I68*(1+H68)</f>
        <v>2.2</v>
      </c>
      <c r="K68" s="101" t="n">
        <f aca="false">IF(ISNUMBER(MATCH(G68,{"tube","each","plate","vial","kit","bottle","aliquot","strainer","cap","lane-rxn","tip","strip","lane","channel","library","sample"},0)),ROUNDUP(J68,0),ROUND(J68,2))</f>
        <v>3</v>
      </c>
      <c r="L68" s="91" t="n">
        <f aca="false">IFERROR(IF(OR(D68="",P68="",Q68="",Q68=0),"",IF(VLOOKUP(R68,Unit_Conversions!$A$5:$C$28,3,FALSE())=VLOOKUP(G68,Unit_Conversions!$A$5:$C$28,3,FALSE()),P68*VLOOKUP(G68,Unit_Conversions!$A$5:$C$28,2,FALSE())/(Q68*VLOOKUP(R68,Unit_Conversions!$A$5:$C$28,2,FALSE())),"")),"")</f>
        <v>0.17956</v>
      </c>
      <c r="M68" s="92" t="n">
        <f aca="false">IFERROR(F68*L68,"")</f>
        <v>0.17956</v>
      </c>
      <c r="N68" s="93" t="n">
        <f aca="false">IFERROR(J68*L68,"")</f>
        <v>0.395032</v>
      </c>
      <c r="O68" s="102" t="s">
        <v>996</v>
      </c>
      <c r="P68" s="1" t="n">
        <f aca="false">IFERROR(IF(LEFT(D68,1)="K",VLOOKUP(D68,Kit_Catalog!$A:$K,8,FALSE()),VLOOKUP(D68,Additional_Supply_Catalog!$A:$K,7,FALSE())),"")</f>
        <v>44.89</v>
      </c>
      <c r="Q68" s="1" t="n">
        <f aca="false">IFERROR(IF(LEFT(D68,1)="K",VLOOKUP(D68,Kit_Catalog!$A:$K,7,FALSE()),VLOOKUP(D68,Additional_Supply_Catalog!$A:$K,8,FALSE())),"")</f>
        <v>250</v>
      </c>
      <c r="R68" s="1" t="str">
        <f aca="false">IFERROR(IF(LEFT(D68,1)="K","rxn",VLOOKUP(D68,Additional_Supply_Catalog!$A:$K,9,FALSE())),"")</f>
        <v>tube</v>
      </c>
    </row>
    <row r="69" customFormat="false" ht="15" hidden="false" customHeight="true" outlineLevel="0" collapsed="false">
      <c r="A69" s="96" t="s">
        <v>1011</v>
      </c>
      <c r="B69" s="96" t="s">
        <v>901</v>
      </c>
      <c r="C69" s="96" t="s">
        <v>1008</v>
      </c>
      <c r="D69" s="96" t="s">
        <v>388</v>
      </c>
      <c r="E69" s="96" t="s">
        <v>33</v>
      </c>
      <c r="F69" s="97" t="n">
        <v>1</v>
      </c>
      <c r="G69" s="96" t="s">
        <v>1005</v>
      </c>
      <c r="H69" s="98" t="n">
        <f aca="false">Inputs!$B$20</f>
        <v>0.1</v>
      </c>
      <c r="I69" s="99" t="n">
        <f aca="false">VLOOKUP(E69,Inputs!$D$5:$E$23,2,FALSE())</f>
        <v>2</v>
      </c>
      <c r="J69" s="100" t="n">
        <f aca="false">F69*I69*(1+H69)</f>
        <v>2.2</v>
      </c>
      <c r="K69" s="101" t="n">
        <f aca="false">IF(ISNUMBER(MATCH(G69,{"tube","each","plate","vial","kit","bottle","aliquot","strainer","cap","lane-rxn","tip","strip","lane","channel","library","sample"},0)),ROUNDUP(J69,0),ROUND(J69,2))</f>
        <v>3</v>
      </c>
      <c r="L69" s="91" t="str">
        <f aca="false">IFERROR(IF(OR(D69="",P69="",Q69="",Q69=0),"",IF(VLOOKUP(R69,Unit_Conversions!$A$5:$C$28,3,FALSE())=VLOOKUP(G69,Unit_Conversions!$A$5:$C$28,3,FALSE()),P69*VLOOKUP(G69,Unit_Conversions!$A$5:$C$28,2,FALSE())/(Q69*VLOOKUP(R69,Unit_Conversions!$A$5:$C$28,2,FALSE())),"")),"")</f>
        <v/>
      </c>
      <c r="M69" s="92" t="str">
        <f aca="false">IFERROR(F69*L69,"")</f>
        <v/>
      </c>
      <c r="N69" s="93" t="str">
        <f aca="false">IFERROR(J69*L69,"")</f>
        <v/>
      </c>
      <c r="O69" s="102" t="s">
        <v>1000</v>
      </c>
      <c r="P69" s="1" t="n">
        <f aca="false">IFERROR(IF(LEFT(D69,1)="K",VLOOKUP(D69,Kit_Catalog!$A:$K,8,FALSE()),VLOOKUP(D69,Additional_Supply_Catalog!$A:$K,7,FALSE())),"")</f>
        <v>0</v>
      </c>
      <c r="Q69" s="1" t="n">
        <f aca="false">IFERROR(IF(LEFT(D69,1)="K",VLOOKUP(D69,Kit_Catalog!$A:$K,7,FALSE()),VLOOKUP(D69,Additional_Supply_Catalog!$A:$K,8,FALSE())),"")</f>
        <v>0</v>
      </c>
      <c r="R69" s="1" t="n">
        <f aca="false">IFERROR(IF(LEFT(D69,1)="K","rxn",VLOOKUP(D69,Additional_Supply_Catalog!$A:$K,9,FALSE())),"")</f>
        <v>0</v>
      </c>
    </row>
    <row r="70" customFormat="false" ht="15" hidden="false" customHeight="true" outlineLevel="0" collapsed="false">
      <c r="A70" s="96" t="s">
        <v>1011</v>
      </c>
      <c r="B70" s="96" t="s">
        <v>901</v>
      </c>
      <c r="C70" s="96" t="s">
        <v>1012</v>
      </c>
      <c r="D70" s="96" t="s">
        <v>614</v>
      </c>
      <c r="E70" s="96" t="s">
        <v>33</v>
      </c>
      <c r="F70" s="97" t="n">
        <v>100</v>
      </c>
      <c r="G70" s="96" t="s">
        <v>397</v>
      </c>
      <c r="H70" s="98" t="n">
        <f aca="false">Inputs!$B$20</f>
        <v>0.1</v>
      </c>
      <c r="I70" s="99" t="n">
        <f aca="false">VLOOKUP(E70,Inputs!$D$5:$E$23,2,FALSE())</f>
        <v>2</v>
      </c>
      <c r="J70" s="100" t="n">
        <f aca="false">F70*I70*(1+H70)</f>
        <v>220</v>
      </c>
      <c r="K70" s="101" t="n">
        <f aca="false">IF(ISNUMBER(MATCH(G70,{"tube","each","plate","vial","kit","bottle","aliquot","strainer","cap","lane-rxn","tip","strip","lane","channel","library","sample"},0)),ROUNDUP(J70,0),ROUND(J70,2))</f>
        <v>220</v>
      </c>
      <c r="L70" s="91" t="str">
        <f aca="false">IFERROR(IF(OR(D70="",P70="",Q70="",Q70=0),"",IF(VLOOKUP(R70,Unit_Conversions!$A$5:$C$28,3,FALSE())=VLOOKUP(G70,Unit_Conversions!$A$5:$C$28,3,FALSE()),P70*VLOOKUP(G70,Unit_Conversions!$A$5:$C$28,2,FALSE())/(Q70*VLOOKUP(R70,Unit_Conversions!$A$5:$C$28,2,FALSE())),"")),"")</f>
        <v/>
      </c>
      <c r="M70" s="92" t="str">
        <f aca="false">IFERROR(F70*L70,"")</f>
        <v/>
      </c>
      <c r="N70" s="93" t="str">
        <f aca="false">IFERROR(J70*L70,"")</f>
        <v/>
      </c>
      <c r="O70" s="102" t="s">
        <v>996</v>
      </c>
      <c r="P70" s="1" t="n">
        <f aca="false">IFERROR(IF(LEFT(D70,1)="K",VLOOKUP(D70,Kit_Catalog!$A:$K,8,FALSE()),VLOOKUP(D70,Additional_Supply_Catalog!$A:$K,7,FALSE())),"")</f>
        <v>0</v>
      </c>
      <c r="Q70" s="1" t="n">
        <f aca="false">IFERROR(IF(LEFT(D70,1)="K",VLOOKUP(D70,Kit_Catalog!$A:$K,7,FALSE()),VLOOKUP(D70,Additional_Supply_Catalog!$A:$K,8,FALSE())),"")</f>
        <v>1</v>
      </c>
      <c r="R70" s="1" t="str">
        <f aca="false">IFERROR(IF(LEFT(D70,1)="K","rxn",VLOOKUP(D70,Additional_Supply_Catalog!$A:$K,9,FALSE())),"")</f>
        <v>mL</v>
      </c>
    </row>
    <row r="71" customFormat="false" ht="15" hidden="false" customHeight="true" outlineLevel="0" collapsed="false">
      <c r="A71" s="96" t="s">
        <v>1011</v>
      </c>
      <c r="B71" s="96" t="s">
        <v>901</v>
      </c>
      <c r="C71" s="96" t="s">
        <v>1013</v>
      </c>
      <c r="D71" s="96" t="s">
        <v>619</v>
      </c>
      <c r="E71" s="96" t="s">
        <v>33</v>
      </c>
      <c r="F71" s="97" t="n">
        <v>5</v>
      </c>
      <c r="G71" s="96" t="s">
        <v>397</v>
      </c>
      <c r="H71" s="98" t="n">
        <f aca="false">Inputs!$B$20</f>
        <v>0.1</v>
      </c>
      <c r="I71" s="99" t="n">
        <f aca="false">VLOOKUP(E71,Inputs!$D$5:$E$23,2,FALSE())</f>
        <v>2</v>
      </c>
      <c r="J71" s="100" t="n">
        <f aca="false">F71*I71*(1+H71)</f>
        <v>11</v>
      </c>
      <c r="K71" s="101" t="n">
        <f aca="false">IF(ISNUMBER(MATCH(G71,{"tube","each","plate","vial","kit","bottle","aliquot","strainer","cap","lane-rxn","tip","strip","lane","channel","library","sample"},0)),ROUNDUP(J71,0),ROUND(J71,2))</f>
        <v>11</v>
      </c>
      <c r="L71" s="91" t="str">
        <f aca="false">IFERROR(IF(OR(D71="",P71="",Q71="",Q71=0),"",IF(VLOOKUP(R71,Unit_Conversions!$A$5:$C$28,3,FALSE())=VLOOKUP(G71,Unit_Conversions!$A$5:$C$28,3,FALSE()),P71*VLOOKUP(G71,Unit_Conversions!$A$5:$C$28,2,FALSE())/(Q71*VLOOKUP(R71,Unit_Conversions!$A$5:$C$28,2,FALSE())),"")),"")</f>
        <v/>
      </c>
      <c r="M71" s="92" t="str">
        <f aca="false">IFERROR(F71*L71,"")</f>
        <v/>
      </c>
      <c r="N71" s="93" t="str">
        <f aca="false">IFERROR(J71*L71,"")</f>
        <v/>
      </c>
      <c r="O71" s="102" t="s">
        <v>996</v>
      </c>
      <c r="P71" s="1" t="n">
        <f aca="false">IFERROR(IF(LEFT(D71,1)="K",VLOOKUP(D71,Kit_Catalog!$A:$K,8,FALSE()),VLOOKUP(D71,Additional_Supply_Catalog!$A:$K,7,FALSE())),"")</f>
        <v>0</v>
      </c>
      <c r="Q71" s="1" t="n">
        <f aca="false">IFERROR(IF(LEFT(D71,1)="K",VLOOKUP(D71,Kit_Catalog!$A:$K,7,FALSE()),VLOOKUP(D71,Additional_Supply_Catalog!$A:$K,8,FALSE())),"")</f>
        <v>1</v>
      </c>
      <c r="R71" s="1" t="str">
        <f aca="false">IFERROR(IF(LEFT(D71,1)="K","rxn",VLOOKUP(D71,Additional_Supply_Catalog!$A:$K,9,FALSE())),"")</f>
        <v>nmol</v>
      </c>
    </row>
    <row r="72" customFormat="false" ht="15" hidden="false" customHeight="true" outlineLevel="0" collapsed="false">
      <c r="A72" s="96" t="s">
        <v>1011</v>
      </c>
      <c r="B72" s="96" t="s">
        <v>901</v>
      </c>
      <c r="C72" s="96" t="s">
        <v>1014</v>
      </c>
      <c r="D72" s="96" t="s">
        <v>435</v>
      </c>
      <c r="E72" s="96" t="s">
        <v>33</v>
      </c>
      <c r="F72" s="97" t="n">
        <v>5</v>
      </c>
      <c r="G72" s="96" t="s">
        <v>397</v>
      </c>
      <c r="H72" s="98" t="n">
        <f aca="false">Inputs!$B$20</f>
        <v>0.1</v>
      </c>
      <c r="I72" s="99" t="n">
        <f aca="false">VLOOKUP(E72,Inputs!$D$5:$E$23,2,FALSE())</f>
        <v>2</v>
      </c>
      <c r="J72" s="100" t="n">
        <f aca="false">F72*I72*(1+H72)</f>
        <v>11</v>
      </c>
      <c r="K72" s="101" t="n">
        <f aca="false">IF(ISNUMBER(MATCH(G72,{"tube","each","plate","vial","kit","bottle","aliquot","strainer","cap","lane-rxn","tip","strip","lane","channel","library","sample"},0)),ROUNDUP(J72,0),ROUND(J72,2))</f>
        <v>11</v>
      </c>
      <c r="L72" s="91" t="str">
        <f aca="false">IFERROR(IF(OR(D72="",P72="",Q72="",Q72=0),"",IF(VLOOKUP(R72,Unit_Conversions!$A$5:$C$28,3,FALSE())=VLOOKUP(G72,Unit_Conversions!$A$5:$C$28,3,FALSE()),P72*VLOOKUP(G72,Unit_Conversions!$A$5:$C$28,2,FALSE())/(Q72*VLOOKUP(R72,Unit_Conversions!$A$5:$C$28,2,FALSE())),"")),"")</f>
        <v/>
      </c>
      <c r="M72" s="92" t="str">
        <f aca="false">IFERROR(F72*L72,"")</f>
        <v/>
      </c>
      <c r="N72" s="93" t="str">
        <f aca="false">IFERROR(J72*L72,"")</f>
        <v/>
      </c>
      <c r="O72" s="102" t="s">
        <v>1000</v>
      </c>
      <c r="P72" s="1" t="n">
        <f aca="false">IFERROR(IF(LEFT(D72,1)="K",VLOOKUP(D72,Kit_Catalog!$A:$K,8,FALSE()),VLOOKUP(D72,Additional_Supply_Catalog!$A:$K,7,FALSE())),"")</f>
        <v>0</v>
      </c>
      <c r="Q72" s="1" t="n">
        <f aca="false">IFERROR(IF(LEFT(D72,1)="K",VLOOKUP(D72,Kit_Catalog!$A:$K,7,FALSE()),VLOOKUP(D72,Additional_Supply_Catalog!$A:$K,8,FALSE())),"")</f>
        <v>0</v>
      </c>
      <c r="R72" s="1" t="str">
        <f aca="false">IFERROR(IF(LEFT(D72,1)="K","rxn",VLOOKUP(D72,Additional_Supply_Catalog!$A:$K,9,FALSE())),"")</f>
        <v>uL</v>
      </c>
    </row>
    <row r="73" customFormat="false" ht="15" hidden="false" customHeight="true" outlineLevel="0" collapsed="false">
      <c r="A73" s="85" t="s">
        <v>1015</v>
      </c>
      <c r="B73" s="85" t="s">
        <v>901</v>
      </c>
      <c r="C73" s="85" t="s">
        <v>264</v>
      </c>
      <c r="D73" s="85" t="s">
        <v>261</v>
      </c>
      <c r="E73" s="85" t="s">
        <v>31</v>
      </c>
      <c r="F73" s="86" t="n">
        <v>1</v>
      </c>
      <c r="G73" s="85" t="s">
        <v>971</v>
      </c>
      <c r="H73" s="87" t="n">
        <f aca="false">Inputs!$B$20</f>
        <v>0.1</v>
      </c>
      <c r="I73" s="88" t="n">
        <f aca="false">VLOOKUP(E73,Inputs!$D$5:$E$23,2,FALSE())</f>
        <v>2</v>
      </c>
      <c r="J73" s="89" t="n">
        <f aca="false">F73*I73*(1+H73)</f>
        <v>2.2</v>
      </c>
      <c r="K73" s="90" t="n">
        <f aca="false">IF(ISNUMBER(MATCH(G73,{"tube","each","plate","vial","kit","bottle","aliquot","strainer","cap","lane-rxn","tip","strip","lane","channel","library","sample"},0)),ROUNDUP(J73,0),ROUND(J73,2))</f>
        <v>2.2</v>
      </c>
      <c r="L73" s="91" t="n">
        <f aca="false">IFERROR(IF(OR(D73="",P73="",Q73="",Q73=0),"",IF(VLOOKUP(R73,Unit_Conversions!$A$5:$C$28,3,FALSE())=VLOOKUP(G73,Unit_Conversions!$A$5:$C$28,3,FALSE()),P73*VLOOKUP(G73,Unit_Conversions!$A$5:$C$28,2,FALSE())/(Q73*VLOOKUP(R73,Unit_Conversions!$A$5:$C$28,2,FALSE())),"")),"")</f>
        <v>1562.5</v>
      </c>
      <c r="M73" s="92" t="n">
        <f aca="false">IFERROR(F73*L73,"")</f>
        <v>1562.5</v>
      </c>
      <c r="N73" s="93" t="n">
        <f aca="false">IFERROR(J73*L73,"")</f>
        <v>3437.5</v>
      </c>
      <c r="O73" s="94" t="s">
        <v>989</v>
      </c>
      <c r="P73" s="1" t="n">
        <f aca="false">IFERROR(IF(LEFT(D73,1)="K",VLOOKUP(D73,Kit_Catalog!$A:$K,8,FALSE()),VLOOKUP(D73,Additional_Supply_Catalog!$A:$K,7,FALSE())),"")</f>
        <v>25000</v>
      </c>
      <c r="Q73" s="1" t="n">
        <f aca="false">IFERROR(IF(LEFT(D73,1)="K",VLOOKUP(D73,Kit_Catalog!$A:$K,7,FALSE()),VLOOKUP(D73,Additional_Supply_Catalog!$A:$K,8,FALSE())),"")</f>
        <v>16</v>
      </c>
      <c r="R73" s="1" t="str">
        <f aca="false">IFERROR(IF(LEFT(D73,1)="K","rxn",VLOOKUP(D73,Additional_Supply_Catalog!$A:$K,9,FALSE())),"")</f>
        <v>rxn</v>
      </c>
    </row>
    <row r="74" customFormat="false" ht="15" hidden="false" customHeight="true" outlineLevel="0" collapsed="false">
      <c r="A74" s="85" t="s">
        <v>1015</v>
      </c>
      <c r="B74" s="85" t="s">
        <v>901</v>
      </c>
      <c r="C74" s="85" t="s">
        <v>268</v>
      </c>
      <c r="D74" s="85" t="s">
        <v>267</v>
      </c>
      <c r="E74" s="85" t="s">
        <v>31</v>
      </c>
      <c r="F74" s="86" t="n">
        <v>1</v>
      </c>
      <c r="G74" s="85" t="s">
        <v>971</v>
      </c>
      <c r="H74" s="87" t="n">
        <f aca="false">Inputs!$B$20</f>
        <v>0.1</v>
      </c>
      <c r="I74" s="88" t="n">
        <f aca="false">VLOOKUP(E74,Inputs!$D$5:$E$23,2,FALSE())</f>
        <v>2</v>
      </c>
      <c r="J74" s="89" t="n">
        <f aca="false">F74*I74*(1+H74)</f>
        <v>2.2</v>
      </c>
      <c r="K74" s="90" t="n">
        <f aca="false">IF(ISNUMBER(MATCH(G74,{"tube","each","plate","vial","kit","bottle","aliquot","strainer","cap","lane-rxn","tip","strip","lane","channel","library","sample"},0)),ROUNDUP(J74,0),ROUND(J74,2))</f>
        <v>2.2</v>
      </c>
      <c r="L74" s="91" t="n">
        <f aca="false">IFERROR(IF(OR(D74="",P74="",Q74="",Q74=0),"",IF(VLOOKUP(R74,Unit_Conversions!$A$5:$C$28,3,FALSE())=VLOOKUP(G74,Unit_Conversions!$A$5:$C$28,3,FALSE()),P74*VLOOKUP(G74,Unit_Conversions!$A$5:$C$28,2,FALSE())/(Q74*VLOOKUP(R74,Unit_Conversions!$A$5:$C$28,2,FALSE())),"")),"")</f>
        <v>37.5</v>
      </c>
      <c r="M74" s="92" t="n">
        <f aca="false">IFERROR(F74*L74,"")</f>
        <v>37.5</v>
      </c>
      <c r="N74" s="93" t="n">
        <f aca="false">IFERROR(J74*L74,"")</f>
        <v>82.5</v>
      </c>
      <c r="O74" s="94" t="s">
        <v>989</v>
      </c>
      <c r="P74" s="1" t="n">
        <f aca="false">IFERROR(IF(LEFT(D74,1)="K",VLOOKUP(D74,Kit_Catalog!$A:$K,8,FALSE()),VLOOKUP(D74,Additional_Supply_Catalog!$A:$K,7,FALSE())),"")</f>
        <v>1800</v>
      </c>
      <c r="Q74" s="1" t="n">
        <f aca="false">IFERROR(IF(LEFT(D74,1)="K",VLOOKUP(D74,Kit_Catalog!$A:$K,7,FALSE()),VLOOKUP(D74,Additional_Supply_Catalog!$A:$K,8,FALSE())),"")</f>
        <v>48</v>
      </c>
      <c r="R74" s="1" t="str">
        <f aca="false">IFERROR(IF(LEFT(D74,1)="K","rxn",VLOOKUP(D74,Additional_Supply_Catalog!$A:$K,9,FALSE())),"")</f>
        <v>rxn</v>
      </c>
    </row>
    <row r="75" customFormat="false" ht="15" hidden="false" customHeight="true" outlineLevel="0" collapsed="false">
      <c r="A75" s="85" t="s">
        <v>1015</v>
      </c>
      <c r="B75" s="85" t="s">
        <v>901</v>
      </c>
      <c r="C75" s="85" t="s">
        <v>276</v>
      </c>
      <c r="D75" s="85" t="s">
        <v>275</v>
      </c>
      <c r="E75" s="85" t="s">
        <v>31</v>
      </c>
      <c r="F75" s="86" t="n">
        <v>1</v>
      </c>
      <c r="G75" s="85" t="s">
        <v>971</v>
      </c>
      <c r="H75" s="87" t="n">
        <f aca="false">Inputs!$B$20</f>
        <v>0.1</v>
      </c>
      <c r="I75" s="88" t="n">
        <f aca="false">VLOOKUP(E75,Inputs!$D$5:$E$23,2,FALSE())</f>
        <v>2</v>
      </c>
      <c r="J75" s="89" t="n">
        <f aca="false">F75*I75*(1+H75)</f>
        <v>2.2</v>
      </c>
      <c r="K75" s="90" t="n">
        <f aca="false">IF(ISNUMBER(MATCH(G75,{"tube","each","plate","vial","kit","bottle","aliquot","strainer","cap","lane-rxn","tip","strip","lane","channel","library","sample"},0)),ROUNDUP(J75,0),ROUND(J75,2))</f>
        <v>2.2</v>
      </c>
      <c r="L75" s="91" t="n">
        <f aca="false">IFERROR(IF(OR(D75="",P75="",Q75="",Q75=0),"",IF(VLOOKUP(R75,Unit_Conversions!$A$5:$C$28,3,FALSE())=VLOOKUP(G75,Unit_Conversions!$A$5:$C$28,3,FALSE()),P75*VLOOKUP(G75,Unit_Conversions!$A$5:$C$28,2,FALSE())/(Q75*VLOOKUP(R75,Unit_Conversions!$A$5:$C$28,2,FALSE())),"")),"")</f>
        <v>10</v>
      </c>
      <c r="M75" s="92" t="n">
        <f aca="false">IFERROR(F75*L75,"")</f>
        <v>10</v>
      </c>
      <c r="N75" s="93" t="n">
        <f aca="false">IFERROR(J75*L75,"")</f>
        <v>22</v>
      </c>
      <c r="O75" s="94" t="s">
        <v>989</v>
      </c>
      <c r="P75" s="1" t="n">
        <f aca="false">IFERROR(IF(LEFT(D75,1)="K",VLOOKUP(D75,Kit_Catalog!$A:$K,8,FALSE()),VLOOKUP(D75,Additional_Supply_Catalog!$A:$K,7,FALSE())),"")</f>
        <v>960</v>
      </c>
      <c r="Q75" s="1" t="n">
        <f aca="false">IFERROR(IF(LEFT(D75,1)="K",VLOOKUP(D75,Kit_Catalog!$A:$K,7,FALSE()),VLOOKUP(D75,Additional_Supply_Catalog!$A:$K,8,FALSE())),"")</f>
        <v>96</v>
      </c>
      <c r="R75" s="1" t="str">
        <f aca="false">IFERROR(IF(LEFT(D75,1)="K","rxn",VLOOKUP(D75,Additional_Supply_Catalog!$A:$K,9,FALSE())),"")</f>
        <v>rxn</v>
      </c>
    </row>
    <row r="76" customFormat="false" ht="15" hidden="false" customHeight="true" outlineLevel="0" collapsed="false">
      <c r="A76" s="85" t="s">
        <v>1015</v>
      </c>
      <c r="B76" s="85" t="s">
        <v>901</v>
      </c>
      <c r="C76" s="85" t="s">
        <v>354</v>
      </c>
      <c r="D76" s="85" t="s">
        <v>353</v>
      </c>
      <c r="E76" s="85" t="s">
        <v>31</v>
      </c>
      <c r="F76" s="86" t="n">
        <v>0.1185</v>
      </c>
      <c r="G76" s="85" t="s">
        <v>337</v>
      </c>
      <c r="H76" s="87" t="n">
        <f aca="false">Inputs!$B$20</f>
        <v>0.1</v>
      </c>
      <c r="I76" s="88" t="n">
        <f aca="false">VLOOKUP(E76,Inputs!$D$5:$E$23,2,FALSE())</f>
        <v>2</v>
      </c>
      <c r="J76" s="89" t="n">
        <f aca="false">F76*I76*(1+H76)</f>
        <v>0.2607</v>
      </c>
      <c r="K76" s="90" t="n">
        <f aca="false">IF(ISNUMBER(MATCH(G76,{"tube","each","plate","vial","kit","bottle","aliquot","strainer","cap","lane-rxn","tip","strip","lane","channel","library","sample"},0)),ROUNDUP(J76,0),ROUND(J76,2))</f>
        <v>0.26</v>
      </c>
      <c r="L76" s="91" t="n">
        <f aca="false">IFERROR(IF(OR(D76="",P76="",Q76="",Q76=0),"",IF(VLOOKUP(R76,Unit_Conversions!$A$5:$C$28,3,FALSE())=VLOOKUP(G76,Unit_Conversions!$A$5:$C$28,3,FALSE()),P76*VLOOKUP(G76,Unit_Conversions!$A$5:$C$28,2,FALSE())/(Q76*VLOOKUP(R76,Unit_Conversions!$A$5:$C$28,2,FALSE())),"")),"")</f>
        <v>0.1996</v>
      </c>
      <c r="M76" s="92" t="n">
        <f aca="false">IFERROR(F76*L76,"")</f>
        <v>0.0236526</v>
      </c>
      <c r="N76" s="93" t="n">
        <f aca="false">IFERROR(J76*L76,"")</f>
        <v>0.05203572</v>
      </c>
      <c r="O76" s="94" t="s">
        <v>990</v>
      </c>
      <c r="P76" s="1" t="n">
        <f aca="false">IFERROR(IF(LEFT(D76,1)="K",VLOOKUP(D76,Kit_Catalog!$A:$K,8,FALSE()),VLOOKUP(D76,Additional_Supply_Catalog!$A:$K,7,FALSE())),"")</f>
        <v>49.9</v>
      </c>
      <c r="Q76" s="1" t="n">
        <f aca="false">IFERROR(IF(LEFT(D76,1)="K",VLOOKUP(D76,Kit_Catalog!$A:$K,7,FALSE()),VLOOKUP(D76,Additional_Supply_Catalog!$A:$K,8,FALSE())),"")</f>
        <v>250</v>
      </c>
      <c r="R76" s="1" t="str">
        <f aca="false">IFERROR(IF(LEFT(D76,1)="K","rxn",VLOOKUP(D76,Additional_Supply_Catalog!$A:$K,9,FALSE())),"")</f>
        <v>mL</v>
      </c>
    </row>
    <row r="77" customFormat="false" ht="15" hidden="false" customHeight="true" outlineLevel="0" collapsed="false">
      <c r="A77" s="85" t="s">
        <v>1015</v>
      </c>
      <c r="B77" s="85" t="s">
        <v>901</v>
      </c>
      <c r="C77" s="85" t="s">
        <v>991</v>
      </c>
      <c r="D77" s="85" t="s">
        <v>346</v>
      </c>
      <c r="E77" s="85" t="s">
        <v>31</v>
      </c>
      <c r="F77" s="86" t="n">
        <v>1.3</v>
      </c>
      <c r="G77" s="85" t="s">
        <v>337</v>
      </c>
      <c r="H77" s="87" t="n">
        <f aca="false">Inputs!$B$20</f>
        <v>0.1</v>
      </c>
      <c r="I77" s="88" t="n">
        <f aca="false">VLOOKUP(E77,Inputs!$D$5:$E$23,2,FALSE())</f>
        <v>2</v>
      </c>
      <c r="J77" s="89" t="n">
        <f aca="false">F77*I77*(1+H77)</f>
        <v>2.86</v>
      </c>
      <c r="K77" s="90" t="n">
        <f aca="false">IF(ISNUMBER(MATCH(G77,{"tube","each","plate","vial","kit","bottle","aliquot","strainer","cap","lane-rxn","tip","strip","lane","channel","library","sample"},0)),ROUNDUP(J77,0),ROUND(J77,2))</f>
        <v>2.86</v>
      </c>
      <c r="L77" s="91" t="n">
        <f aca="false">IFERROR(IF(OR(D77="",P77="",Q77="",Q77=0),"",IF(VLOOKUP(R77,Unit_Conversions!$A$5:$C$28,3,FALSE())=VLOOKUP(G77,Unit_Conversions!$A$5:$C$28,3,FALSE()),P77*VLOOKUP(G77,Unit_Conversions!$A$5:$C$28,2,FALSE())/(Q77*VLOOKUP(R77,Unit_Conversions!$A$5:$C$28,2,FALSE())),"")),"")</f>
        <v>0.218</v>
      </c>
      <c r="M77" s="92" t="n">
        <f aca="false">IFERROR(F77*L77,"")</f>
        <v>0.2834</v>
      </c>
      <c r="N77" s="93" t="n">
        <f aca="false">IFERROR(J77*L77,"")</f>
        <v>0.62348</v>
      </c>
      <c r="O77" s="94" t="s">
        <v>990</v>
      </c>
      <c r="P77" s="1" t="n">
        <f aca="false">IFERROR(IF(LEFT(D77,1)="K",VLOOKUP(D77,Kit_Catalog!$A:$K,8,FALSE()),VLOOKUP(D77,Additional_Supply_Catalog!$A:$K,7,FALSE())),"")</f>
        <v>109</v>
      </c>
      <c r="Q77" s="1" t="n">
        <f aca="false">IFERROR(IF(LEFT(D77,1)="K",VLOOKUP(D77,Kit_Catalog!$A:$K,7,FALSE()),VLOOKUP(D77,Additional_Supply_Catalog!$A:$K,8,FALSE())),"")</f>
        <v>500</v>
      </c>
      <c r="R77" s="1" t="str">
        <f aca="false">IFERROR(IF(LEFT(D77,1)="K","rxn",VLOOKUP(D77,Additional_Supply_Catalog!$A:$K,9,FALSE())),"")</f>
        <v>mL</v>
      </c>
    </row>
    <row r="78" customFormat="false" ht="15" hidden="false" customHeight="true" outlineLevel="0" collapsed="false">
      <c r="A78" s="85" t="s">
        <v>1015</v>
      </c>
      <c r="B78" s="85" t="s">
        <v>901</v>
      </c>
      <c r="C78" s="85" t="s">
        <v>992</v>
      </c>
      <c r="D78" s="85" t="s">
        <v>360</v>
      </c>
      <c r="E78" s="85" t="s">
        <v>31</v>
      </c>
      <c r="F78" s="86" t="n">
        <v>0.162</v>
      </c>
      <c r="G78" s="85" t="s">
        <v>337</v>
      </c>
      <c r="H78" s="87" t="n">
        <f aca="false">Inputs!$B$20</f>
        <v>0.1</v>
      </c>
      <c r="I78" s="88" t="n">
        <f aca="false">VLOOKUP(E78,Inputs!$D$5:$E$23,2,FALSE())</f>
        <v>2</v>
      </c>
      <c r="J78" s="89" t="n">
        <f aca="false">F78*I78*(1+H78)</f>
        <v>0.3564</v>
      </c>
      <c r="K78" s="90" t="n">
        <f aca="false">IF(ISNUMBER(MATCH(G78,{"tube","each","plate","vial","kit","bottle","aliquot","strainer","cap","lane-rxn","tip","strip","lane","channel","library","sample"},0)),ROUNDUP(J78,0),ROUND(J78,2))</f>
        <v>0.36</v>
      </c>
      <c r="L78" s="91" t="n">
        <f aca="false">IFERROR(IF(OR(D78="",P78="",Q78="",Q78=0),"",IF(VLOOKUP(R78,Unit_Conversions!$A$5:$C$28,3,FALSE())=VLOOKUP(G78,Unit_Conversions!$A$5:$C$28,3,FALSE()),P78*VLOOKUP(G78,Unit_Conversions!$A$5:$C$28,2,FALSE())/(Q78*VLOOKUP(R78,Unit_Conversions!$A$5:$C$28,2,FALSE())),"")),"")</f>
        <v>27.265</v>
      </c>
      <c r="M78" s="92" t="n">
        <f aca="false">IFERROR(F78*L78,"")</f>
        <v>4.41693</v>
      </c>
      <c r="N78" s="93" t="n">
        <f aca="false">IFERROR(J78*L78,"")</f>
        <v>9.717246</v>
      </c>
      <c r="O78" s="94" t="s">
        <v>990</v>
      </c>
      <c r="P78" s="1" t="n">
        <f aca="false">IFERROR(IF(LEFT(D78,1)="K",VLOOKUP(D78,Kit_Catalog!$A:$K,8,FALSE()),VLOOKUP(D78,Additional_Supply_Catalog!$A:$K,7,FALSE())),"")</f>
        <v>1635.9</v>
      </c>
      <c r="Q78" s="1" t="n">
        <f aca="false">IFERROR(IF(LEFT(D78,1)="K",VLOOKUP(D78,Kit_Catalog!$A:$K,7,FALSE()),VLOOKUP(D78,Additional_Supply_Catalog!$A:$K,8,FALSE())),"")</f>
        <v>60</v>
      </c>
      <c r="R78" s="1" t="str">
        <f aca="false">IFERROR(IF(LEFT(D78,1)="K","rxn",VLOOKUP(D78,Additional_Supply_Catalog!$A:$K,9,FALSE())),"")</f>
        <v>mL</v>
      </c>
    </row>
    <row r="79" customFormat="false" ht="15" hidden="false" customHeight="true" outlineLevel="0" collapsed="false">
      <c r="A79" s="85" t="s">
        <v>1015</v>
      </c>
      <c r="B79" s="85" t="s">
        <v>901</v>
      </c>
      <c r="C79" s="85" t="s">
        <v>1004</v>
      </c>
      <c r="D79" s="85" t="s">
        <v>375</v>
      </c>
      <c r="E79" s="85" t="s">
        <v>31</v>
      </c>
      <c r="F79" s="86" t="n">
        <v>1</v>
      </c>
      <c r="G79" s="85" t="s">
        <v>1005</v>
      </c>
      <c r="H79" s="87" t="n">
        <f aca="false">Inputs!$B$20</f>
        <v>0.1</v>
      </c>
      <c r="I79" s="88" t="n">
        <f aca="false">VLOOKUP(E79,Inputs!$D$5:$E$23,2,FALSE())</f>
        <v>2</v>
      </c>
      <c r="J79" s="89" t="n">
        <f aca="false">F79*I79*(1+H79)</f>
        <v>2.2</v>
      </c>
      <c r="K79" s="90" t="n">
        <f aca="false">IF(ISNUMBER(MATCH(G79,{"tube","each","plate","vial","kit","bottle","aliquot","strainer","cap","lane-rxn","tip","strip","lane","channel","library","sample"},0)),ROUNDUP(J79,0),ROUND(J79,2))</f>
        <v>3</v>
      </c>
      <c r="L79" s="91" t="str">
        <f aca="false">IFERROR(IF(OR(D79="",P79="",Q79="",Q79=0),"",IF(VLOOKUP(R79,Unit_Conversions!$A$5:$C$28,3,FALSE())=VLOOKUP(G79,Unit_Conversions!$A$5:$C$28,3,FALSE()),P79*VLOOKUP(G79,Unit_Conversions!$A$5:$C$28,2,FALSE())/(Q79*VLOOKUP(R79,Unit_Conversions!$A$5:$C$28,2,FALSE())),"")),"")</f>
        <v/>
      </c>
      <c r="M79" s="92" t="str">
        <f aca="false">IFERROR(F79*L79,"")</f>
        <v/>
      </c>
      <c r="N79" s="93" t="str">
        <f aca="false">IFERROR(J79*L79,"")</f>
        <v/>
      </c>
      <c r="O79" s="94" t="s">
        <v>996</v>
      </c>
      <c r="P79" s="1" t="n">
        <f aca="false">IFERROR(IF(LEFT(D79,1)="K",VLOOKUP(D79,Kit_Catalog!$A:$K,8,FALSE()),VLOOKUP(D79,Additional_Supply_Catalog!$A:$K,7,FALSE())),"")</f>
        <v>606.25</v>
      </c>
      <c r="Q79" s="1" t="n">
        <f aca="false">IFERROR(IF(LEFT(D79,1)="K",VLOOKUP(D79,Kit_Catalog!$A:$K,7,FALSE()),VLOOKUP(D79,Additional_Supply_Catalog!$A:$K,8,FALSE())),"")</f>
        <v>1</v>
      </c>
      <c r="R79" s="1" t="str">
        <f aca="false">IFERROR(IF(LEFT(D79,1)="K","rxn",VLOOKUP(D79,Additional_Supply_Catalog!$A:$K,9,FALSE())),"")</f>
        <v>kit</v>
      </c>
    </row>
    <row r="80" customFormat="false" ht="15" hidden="false" customHeight="true" outlineLevel="0" collapsed="false">
      <c r="A80" s="85" t="s">
        <v>1015</v>
      </c>
      <c r="B80" s="85" t="s">
        <v>901</v>
      </c>
      <c r="C80" s="85" t="s">
        <v>1006</v>
      </c>
      <c r="D80" s="85" t="s">
        <v>367</v>
      </c>
      <c r="E80" s="85" t="s">
        <v>31</v>
      </c>
      <c r="F80" s="86" t="n">
        <v>1</v>
      </c>
      <c r="G80" s="85" t="s">
        <v>1005</v>
      </c>
      <c r="H80" s="87" t="n">
        <f aca="false">Inputs!$B$20</f>
        <v>0.1</v>
      </c>
      <c r="I80" s="88" t="n">
        <f aca="false">VLOOKUP(E80,Inputs!$D$5:$E$23,2,FALSE())</f>
        <v>2</v>
      </c>
      <c r="J80" s="89" t="n">
        <f aca="false">F80*I80*(1+H80)</f>
        <v>2.2</v>
      </c>
      <c r="K80" s="90" t="n">
        <f aca="false">IF(ISNUMBER(MATCH(G80,{"tube","each","plate","vial","kit","bottle","aliquot","strainer","cap","lane-rxn","tip","strip","lane","channel","library","sample"},0)),ROUNDUP(J80,0),ROUND(J80,2))</f>
        <v>3</v>
      </c>
      <c r="L80" s="91" t="n">
        <f aca="false">IFERROR(IF(OR(D80="",P80="",Q80="",Q80=0),"",IF(VLOOKUP(R80,Unit_Conversions!$A$5:$C$28,3,FALSE())=VLOOKUP(G80,Unit_Conversions!$A$5:$C$28,3,FALSE()),P80*VLOOKUP(G80,Unit_Conversions!$A$5:$C$28,2,FALSE())/(Q80*VLOOKUP(R80,Unit_Conversions!$A$5:$C$28,2,FALSE())),"")),"")</f>
        <v>0.8533</v>
      </c>
      <c r="M80" s="92" t="n">
        <f aca="false">IFERROR(F80*L80,"")</f>
        <v>0.8533</v>
      </c>
      <c r="N80" s="93" t="n">
        <f aca="false">IFERROR(J80*L80,"")</f>
        <v>1.87726</v>
      </c>
      <c r="O80" s="94" t="s">
        <v>990</v>
      </c>
      <c r="P80" s="1" t="n">
        <f aca="false">IFERROR(IF(LEFT(D80,1)="K",VLOOKUP(D80,Kit_Catalog!$A:$K,8,FALSE()),VLOOKUP(D80,Additional_Supply_Catalog!$A:$K,7,FALSE())),"")</f>
        <v>426.65</v>
      </c>
      <c r="Q80" s="1" t="n">
        <f aca="false">IFERROR(IF(LEFT(D80,1)="K",VLOOKUP(D80,Kit_Catalog!$A:$K,7,FALSE()),VLOOKUP(D80,Additional_Supply_Catalog!$A:$K,8,FALSE())),"")</f>
        <v>500</v>
      </c>
      <c r="R80" s="1" t="str">
        <f aca="false">IFERROR(IF(LEFT(D80,1)="K","rxn",VLOOKUP(D80,Additional_Supply_Catalog!$A:$K,9,FALSE())),"")</f>
        <v>sample</v>
      </c>
    </row>
    <row r="81" customFormat="false" ht="15" hidden="false" customHeight="true" outlineLevel="0" collapsed="false">
      <c r="A81" s="85" t="s">
        <v>1015</v>
      </c>
      <c r="B81" s="85" t="s">
        <v>901</v>
      </c>
      <c r="C81" s="85" t="s">
        <v>1007</v>
      </c>
      <c r="D81" s="85" t="s">
        <v>579</v>
      </c>
      <c r="E81" s="85" t="s">
        <v>31</v>
      </c>
      <c r="F81" s="86" t="n">
        <v>1</v>
      </c>
      <c r="G81" s="85" t="s">
        <v>548</v>
      </c>
      <c r="H81" s="87" t="n">
        <f aca="false">Inputs!$B$20</f>
        <v>0.1</v>
      </c>
      <c r="I81" s="88" t="n">
        <f aca="false">VLOOKUP(E81,Inputs!$D$5:$E$23,2,FALSE())</f>
        <v>2</v>
      </c>
      <c r="J81" s="89" t="n">
        <f aca="false">F81*I81*(1+H81)</f>
        <v>2.2</v>
      </c>
      <c r="K81" s="90" t="n">
        <f aca="false">IF(ISNUMBER(MATCH(G81,{"tube","each","plate","vial","kit","bottle","aliquot","strainer","cap","lane-rxn","tip","strip","lane","channel","library","sample"},0)),ROUNDUP(J81,0),ROUND(J81,2))</f>
        <v>3</v>
      </c>
      <c r="L81" s="91" t="n">
        <f aca="false">IFERROR(IF(OR(D81="",P81="",Q81="",Q81=0),"",IF(VLOOKUP(R81,Unit_Conversions!$A$5:$C$28,3,FALSE())=VLOOKUP(G81,Unit_Conversions!$A$5:$C$28,3,FALSE()),P81*VLOOKUP(G81,Unit_Conversions!$A$5:$C$28,2,FALSE())/(Q81*VLOOKUP(R81,Unit_Conversions!$A$5:$C$28,2,FALSE())),"")),"")</f>
        <v>0.27</v>
      </c>
      <c r="M81" s="92" t="n">
        <f aca="false">IFERROR(F81*L81,"")</f>
        <v>0.27</v>
      </c>
      <c r="N81" s="93" t="n">
        <f aca="false">IFERROR(J81*L81,"")</f>
        <v>0.594</v>
      </c>
      <c r="O81" s="94" t="s">
        <v>996</v>
      </c>
      <c r="P81" s="1" t="n">
        <f aca="false">IFERROR(IF(LEFT(D81,1)="K",VLOOKUP(D81,Kit_Catalog!$A:$K,8,FALSE()),VLOOKUP(D81,Additional_Supply_Catalog!$A:$K,7,FALSE())),"")</f>
        <v>135</v>
      </c>
      <c r="Q81" s="1" t="n">
        <f aca="false">IFERROR(IF(LEFT(D81,1)="K",VLOOKUP(D81,Kit_Catalog!$A:$K,7,FALSE()),VLOOKUP(D81,Additional_Supply_Catalog!$A:$K,8,FALSE())),"")</f>
        <v>500</v>
      </c>
      <c r="R81" s="1" t="str">
        <f aca="false">IFERROR(IF(LEFT(D81,1)="K","rxn",VLOOKUP(D81,Additional_Supply_Catalog!$A:$K,9,FALSE())),"")</f>
        <v>tube</v>
      </c>
    </row>
    <row r="82" customFormat="false" ht="15" hidden="false" customHeight="true" outlineLevel="0" collapsed="false">
      <c r="A82" s="85" t="s">
        <v>1015</v>
      </c>
      <c r="B82" s="85" t="s">
        <v>901</v>
      </c>
      <c r="C82" s="85" t="s">
        <v>993</v>
      </c>
      <c r="D82" s="85" t="s">
        <v>557</v>
      </c>
      <c r="E82" s="85" t="s">
        <v>31</v>
      </c>
      <c r="F82" s="86" t="n">
        <v>0.125</v>
      </c>
      <c r="G82" s="85" t="s">
        <v>562</v>
      </c>
      <c r="H82" s="87" t="n">
        <f aca="false">Inputs!$B$20</f>
        <v>0.1</v>
      </c>
      <c r="I82" s="88" t="n">
        <f aca="false">VLOOKUP(E82,Inputs!$D$5:$E$23,2,FALSE())</f>
        <v>2</v>
      </c>
      <c r="J82" s="89" t="n">
        <f aca="false">F82*I82*(1+H82)</f>
        <v>0.275</v>
      </c>
      <c r="K82" s="90" t="n">
        <f aca="false">IF(ISNUMBER(MATCH(G82,{"tube","each","plate","vial","kit","bottle","aliquot","strainer","cap","lane-rxn","tip","strip","lane","channel","library","sample"},0)),ROUNDUP(J82,0),ROUND(J82,2))</f>
        <v>1</v>
      </c>
      <c r="L82" s="91" t="n">
        <f aca="false">IFERROR(IF(OR(D82="",P82="",Q82="",Q82=0),"",IF(VLOOKUP(R82,Unit_Conversions!$A$5:$C$28,3,FALSE())=VLOOKUP(G82,Unit_Conversions!$A$5:$C$28,3,FALSE()),P82*VLOOKUP(G82,Unit_Conversions!$A$5:$C$28,2,FALSE())/(Q82*VLOOKUP(R82,Unit_Conversions!$A$5:$C$28,2,FALSE())),"")),"")</f>
        <v>0.7804</v>
      </c>
      <c r="M82" s="92" t="n">
        <f aca="false">IFERROR(F82*L82,"")</f>
        <v>0.09755</v>
      </c>
      <c r="N82" s="93" t="n">
        <f aca="false">IFERROR(J82*L82,"")</f>
        <v>0.21461</v>
      </c>
      <c r="O82" s="94" t="s">
        <v>994</v>
      </c>
      <c r="P82" s="1" t="n">
        <f aca="false">IFERROR(IF(LEFT(D82,1)="K",VLOOKUP(D82,Kit_Catalog!$A:$K,8,FALSE()),VLOOKUP(D82,Additional_Supply_Catalog!$A:$K,7,FALSE())),"")</f>
        <v>97.55</v>
      </c>
      <c r="Q82" s="1" t="n">
        <f aca="false">IFERROR(IF(LEFT(D82,1)="K",VLOOKUP(D82,Kit_Catalog!$A:$K,7,FALSE()),VLOOKUP(D82,Additional_Supply_Catalog!$A:$K,8,FALSE())),"")</f>
        <v>125</v>
      </c>
      <c r="R82" s="1" t="str">
        <f aca="false">IFERROR(IF(LEFT(D82,1)="K","rxn",VLOOKUP(D82,Additional_Supply_Catalog!$A:$K,9,FALSE())),"")</f>
        <v>strip</v>
      </c>
    </row>
    <row r="83" customFormat="false" ht="15" hidden="false" customHeight="true" outlineLevel="0" collapsed="false">
      <c r="A83" s="85" t="s">
        <v>1015</v>
      </c>
      <c r="B83" s="85" t="s">
        <v>901</v>
      </c>
      <c r="C83" s="85" t="s">
        <v>997</v>
      </c>
      <c r="D83" s="85" t="s">
        <v>536</v>
      </c>
      <c r="E83" s="85" t="s">
        <v>31</v>
      </c>
      <c r="F83" s="86" t="n">
        <v>3</v>
      </c>
      <c r="G83" s="85" t="s">
        <v>534</v>
      </c>
      <c r="H83" s="87" t="n">
        <f aca="false">Inputs!$B$20</f>
        <v>0.1</v>
      </c>
      <c r="I83" s="88" t="n">
        <f aca="false">VLOOKUP(E83,Inputs!$D$5:$E$23,2,FALSE())</f>
        <v>2</v>
      </c>
      <c r="J83" s="89" t="n">
        <f aca="false">F83*I83*(1+H83)</f>
        <v>6.6</v>
      </c>
      <c r="K83" s="90" t="n">
        <f aca="false">IF(ISNUMBER(MATCH(G83,{"tube","each","plate","vial","kit","bottle","aliquot","strainer","cap","lane-rxn","tip","strip","lane","channel","library","sample"},0)),ROUNDUP(J83,0),ROUND(J83,2))</f>
        <v>7</v>
      </c>
      <c r="L83" s="91" t="n">
        <f aca="false">IFERROR(IF(OR(D83="",P83="",Q83="",Q83=0),"",IF(VLOOKUP(R83,Unit_Conversions!$A$5:$C$28,3,FALSE())=VLOOKUP(G83,Unit_Conversions!$A$5:$C$28,3,FALSE()),P83*VLOOKUP(G83,Unit_Conversions!$A$5:$C$28,2,FALSE())/(Q83*VLOOKUP(R83,Unit_Conversions!$A$5:$C$28,2,FALSE())),"")),"")</f>
        <v>0.0187916666666667</v>
      </c>
      <c r="M83" s="92" t="n">
        <f aca="false">IFERROR(F83*L83,"")</f>
        <v>0.056375</v>
      </c>
      <c r="N83" s="93" t="n">
        <f aca="false">IFERROR(J83*L83,"")</f>
        <v>0.124025</v>
      </c>
      <c r="O83" s="94" t="s">
        <v>996</v>
      </c>
      <c r="P83" s="1" t="n">
        <f aca="false">IFERROR(IF(LEFT(D83,1)="K",VLOOKUP(D83,Kit_Catalog!$A:$K,8,FALSE()),VLOOKUP(D83,Additional_Supply_Catalog!$A:$K,7,FALSE())),"")</f>
        <v>180.4</v>
      </c>
      <c r="Q83" s="1" t="n">
        <f aca="false">IFERROR(IF(LEFT(D83,1)="K",VLOOKUP(D83,Kit_Catalog!$A:$K,7,FALSE()),VLOOKUP(D83,Additional_Supply_Catalog!$A:$K,8,FALSE())),"")</f>
        <v>9600</v>
      </c>
      <c r="R83" s="1" t="str">
        <f aca="false">IFERROR(IF(LEFT(D83,1)="K","rxn",VLOOKUP(D83,Additional_Supply_Catalog!$A:$K,9,FALSE())),"")</f>
        <v>tip</v>
      </c>
    </row>
    <row r="84" customFormat="false" ht="15" hidden="false" customHeight="true" outlineLevel="0" collapsed="false">
      <c r="A84" s="85" t="s">
        <v>1015</v>
      </c>
      <c r="B84" s="85" t="s">
        <v>901</v>
      </c>
      <c r="C84" s="85" t="s">
        <v>999</v>
      </c>
      <c r="D84" s="85" t="s">
        <v>544</v>
      </c>
      <c r="E84" s="85" t="s">
        <v>31</v>
      </c>
      <c r="F84" s="86" t="n">
        <v>1</v>
      </c>
      <c r="G84" s="85" t="s">
        <v>548</v>
      </c>
      <c r="H84" s="87" t="n">
        <f aca="false">Inputs!$B$20</f>
        <v>0.1</v>
      </c>
      <c r="I84" s="88" t="n">
        <f aca="false">VLOOKUP(E84,Inputs!$D$5:$E$23,2,FALSE())</f>
        <v>2</v>
      </c>
      <c r="J84" s="89" t="n">
        <f aca="false">F84*I84*(1+H84)</f>
        <v>2.2</v>
      </c>
      <c r="K84" s="90" t="n">
        <f aca="false">IF(ISNUMBER(MATCH(G84,{"tube","each","plate","vial","kit","bottle","aliquot","strainer","cap","lane-rxn","tip","strip","lane","channel","library","sample"},0)),ROUNDUP(J84,0),ROUND(J84,2))</f>
        <v>3</v>
      </c>
      <c r="L84" s="91" t="n">
        <f aca="false">IFERROR(IF(OR(D84="",P84="",Q84="",Q84=0),"",IF(VLOOKUP(R84,Unit_Conversions!$A$5:$C$28,3,FALSE())=VLOOKUP(G84,Unit_Conversions!$A$5:$C$28,3,FALSE()),P84*VLOOKUP(G84,Unit_Conversions!$A$5:$C$28,2,FALSE())/(Q84*VLOOKUP(R84,Unit_Conversions!$A$5:$C$28,2,FALSE())),"")),"")</f>
        <v>0.17956</v>
      </c>
      <c r="M84" s="92" t="n">
        <f aca="false">IFERROR(F84*L84,"")</f>
        <v>0.17956</v>
      </c>
      <c r="N84" s="93" t="n">
        <f aca="false">IFERROR(J84*L84,"")</f>
        <v>0.395032</v>
      </c>
      <c r="O84" s="94" t="s">
        <v>996</v>
      </c>
      <c r="P84" s="1" t="n">
        <f aca="false">IFERROR(IF(LEFT(D84,1)="K",VLOOKUP(D84,Kit_Catalog!$A:$K,8,FALSE()),VLOOKUP(D84,Additional_Supply_Catalog!$A:$K,7,FALSE())),"")</f>
        <v>44.89</v>
      </c>
      <c r="Q84" s="1" t="n">
        <f aca="false">IFERROR(IF(LEFT(D84,1)="K",VLOOKUP(D84,Kit_Catalog!$A:$K,7,FALSE()),VLOOKUP(D84,Additional_Supply_Catalog!$A:$K,8,FALSE())),"")</f>
        <v>250</v>
      </c>
      <c r="R84" s="1" t="str">
        <f aca="false">IFERROR(IF(LEFT(D84,1)="K","rxn",VLOOKUP(D84,Additional_Supply_Catalog!$A:$K,9,FALSE())),"")</f>
        <v>tube</v>
      </c>
    </row>
    <row r="85" customFormat="false" ht="32.25" hidden="false" customHeight="true" outlineLevel="0" collapsed="false">
      <c r="A85" s="85" t="s">
        <v>1016</v>
      </c>
      <c r="B85" s="85" t="s">
        <v>896</v>
      </c>
      <c r="C85" s="85" t="s">
        <v>1017</v>
      </c>
      <c r="D85" s="85"/>
      <c r="E85" s="85" t="s">
        <v>898</v>
      </c>
      <c r="F85" s="88"/>
      <c r="G85" s="85" t="s">
        <v>337</v>
      </c>
      <c r="H85" s="85"/>
      <c r="I85" s="88"/>
      <c r="J85" s="88" t="n">
        <f aca="false">(0.035*Inputs!$B$22)*(1+Inputs!$B$20)</f>
        <v>0</v>
      </c>
      <c r="K85" s="104"/>
      <c r="L85" s="105"/>
      <c r="M85" s="105"/>
      <c r="N85" s="106"/>
      <c r="O85" s="94" t="s">
        <v>1018</v>
      </c>
    </row>
    <row r="86" customFormat="false" ht="21.75" hidden="false" customHeight="true" outlineLevel="0" collapsed="false">
      <c r="A86" s="85" t="s">
        <v>1016</v>
      </c>
      <c r="B86" s="85" t="s">
        <v>896</v>
      </c>
      <c r="C86" s="85" t="s">
        <v>1019</v>
      </c>
      <c r="D86" s="85"/>
      <c r="E86" s="85" t="s">
        <v>898</v>
      </c>
      <c r="F86" s="88"/>
      <c r="G86" s="85" t="s">
        <v>337</v>
      </c>
      <c r="H86" s="85"/>
      <c r="I86" s="88"/>
      <c r="J86" s="88" t="n">
        <f aca="false">(0.06*Inputs!$B$23)*(1+Inputs!$B$20)</f>
        <v>0</v>
      </c>
      <c r="K86" s="104"/>
      <c r="L86" s="105"/>
      <c r="M86" s="105"/>
      <c r="N86" s="106"/>
      <c r="O86" s="94" t="s">
        <v>1020</v>
      </c>
    </row>
    <row r="87" customFormat="false" ht="21.75" hidden="false" customHeight="true" outlineLevel="0" collapsed="false">
      <c r="A87" s="85" t="s">
        <v>1016</v>
      </c>
      <c r="B87" s="85" t="s">
        <v>901</v>
      </c>
      <c r="C87" s="85" t="s">
        <v>1021</v>
      </c>
      <c r="D87" s="85" t="s">
        <v>301</v>
      </c>
      <c r="E87" s="85" t="s">
        <v>39</v>
      </c>
      <c r="F87" s="88" t="n">
        <v>1</v>
      </c>
      <c r="G87" s="85" t="s">
        <v>1005</v>
      </c>
      <c r="H87" s="87" t="n">
        <f aca="false">Inputs!$B$20</f>
        <v>0.1</v>
      </c>
      <c r="I87" s="88" t="n">
        <f aca="false">VLOOKUP(E87,Inputs!$D$5:$E$23,2,FALSE())</f>
        <v>0</v>
      </c>
      <c r="J87" s="88" t="n">
        <f aca="false">F87*I87*(1+H87)</f>
        <v>0</v>
      </c>
      <c r="K87" s="104" t="n">
        <f aca="false">IF(ISNUMBER(MATCH(G87,{"tube","each","plate","vial","kit","bottle","aliquot","strainer","cap","lane-rxn","tip","strip","lane","channel","library","sample"},0)),ROUNDUP(J87,0),ROUND(J87,2))</f>
        <v>0</v>
      </c>
      <c r="L87" s="105" t="n">
        <f aca="false">IFERROR(IF(OR(D87="",P87="",Q87="",Q87=0),"",IF(VLOOKUP(R87,Unit_Conversions!$A$5:$C$28,3,FALSE())=VLOOKUP(G87,Unit_Conversions!$A$5:$C$28,3,FALSE()),P87*VLOOKUP(G87,Unit_Conversions!$A$5:$C$28,2,FALSE())/(Q87*VLOOKUP(R87,Unit_Conversions!$A$5:$C$28,2,FALSE())),"")),"")</f>
        <v>10</v>
      </c>
      <c r="M87" s="105" t="n">
        <f aca="false">IFERROR(F87*L87,"")</f>
        <v>10</v>
      </c>
      <c r="N87" s="106" t="n">
        <f aca="false">IFERROR(J87*L87,"")</f>
        <v>0</v>
      </c>
      <c r="O87" s="94" t="s">
        <v>1022</v>
      </c>
      <c r="P87" s="1" t="n">
        <f aca="false">IFERROR(IF(LEFT(D87,1)="K",VLOOKUP(D87,Kit_Catalog!$A:$K,8,FALSE()),VLOOKUP(D87,Additional_Supply_Catalog!$A:$K,7,FALSE())),"")</f>
        <v>960</v>
      </c>
      <c r="Q87" s="1" t="n">
        <f aca="false">IFERROR(IF(LEFT(D87,1)="K",VLOOKUP(D87,Kit_Catalog!$A:$K,7,FALSE()),VLOOKUP(D87,Additional_Supply_Catalog!$A:$K,8,FALSE())),"")</f>
        <v>96</v>
      </c>
      <c r="R87" s="1" t="str">
        <f aca="false">IFERROR(IF(LEFT(D87,1)="K","rxn",VLOOKUP(D87,Additional_Supply_Catalog!$A:$K,9,FALSE())),"")</f>
        <v>rxn</v>
      </c>
    </row>
    <row r="88" customFormat="false" ht="21.75" hidden="false" customHeight="true" outlineLevel="0" collapsed="false">
      <c r="A88" s="85" t="s">
        <v>1016</v>
      </c>
      <c r="B88" s="85" t="s">
        <v>901</v>
      </c>
      <c r="C88" s="85" t="s">
        <v>361</v>
      </c>
      <c r="D88" s="85" t="s">
        <v>360</v>
      </c>
      <c r="E88" s="85" t="s">
        <v>39</v>
      </c>
      <c r="F88" s="88" t="n">
        <v>0.16</v>
      </c>
      <c r="G88" s="85" t="s">
        <v>337</v>
      </c>
      <c r="H88" s="87" t="n">
        <f aca="false">Inputs!$B$20</f>
        <v>0.1</v>
      </c>
      <c r="I88" s="88" t="n">
        <f aca="false">VLOOKUP(E88,Inputs!$D$5:$E$23,2,FALSE())</f>
        <v>0</v>
      </c>
      <c r="J88" s="88" t="n">
        <f aca="false">F88*I88*(1+H88)</f>
        <v>0</v>
      </c>
      <c r="K88" s="104" t="n">
        <f aca="false">IF(ISNUMBER(MATCH(G88,{"tube","each","plate","vial","kit","bottle","aliquot","strainer","cap","lane-rxn","tip","strip","lane","channel","library","sample"},0)),ROUNDUP(J88,0),ROUND(J88,2))</f>
        <v>0</v>
      </c>
      <c r="L88" s="105" t="n">
        <f aca="false">IFERROR(IF(OR(D88="",P88="",Q88="",Q88=0),"",IF(VLOOKUP(R88,Unit_Conversions!$A$5:$C$28,3,FALSE())=VLOOKUP(G88,Unit_Conversions!$A$5:$C$28,3,FALSE()),P88*VLOOKUP(G88,Unit_Conversions!$A$5:$C$28,2,FALSE())/(Q88*VLOOKUP(R88,Unit_Conversions!$A$5:$C$28,2,FALSE())),"")),"")</f>
        <v>27.265</v>
      </c>
      <c r="M88" s="105" t="n">
        <f aca="false">IFERROR(F88*L88,"")</f>
        <v>4.3624</v>
      </c>
      <c r="N88" s="106" t="n">
        <f aca="false">IFERROR(J88*L88,"")</f>
        <v>0</v>
      </c>
      <c r="O88" s="94" t="s">
        <v>1023</v>
      </c>
      <c r="P88" s="1" t="n">
        <f aca="false">IFERROR(IF(LEFT(D88,1)="K",VLOOKUP(D88,Kit_Catalog!$A:$K,8,FALSE()),VLOOKUP(D88,Additional_Supply_Catalog!$A:$K,7,FALSE())),"")</f>
        <v>1635.9</v>
      </c>
      <c r="Q88" s="1" t="n">
        <f aca="false">IFERROR(IF(LEFT(D88,1)="K",VLOOKUP(D88,Kit_Catalog!$A:$K,7,FALSE()),VLOOKUP(D88,Additional_Supply_Catalog!$A:$K,8,FALSE())),"")</f>
        <v>60</v>
      </c>
      <c r="R88" s="1" t="str">
        <f aca="false">IFERROR(IF(LEFT(D88,1)="K","rxn",VLOOKUP(D88,Additional_Supply_Catalog!$A:$K,9,FALSE())),"")</f>
        <v>mL</v>
      </c>
    </row>
    <row r="89" customFormat="false" ht="14.25" hidden="false" customHeight="true" outlineLevel="0" collapsed="false">
      <c r="A89" s="85" t="s">
        <v>1016</v>
      </c>
      <c r="B89" s="85" t="s">
        <v>901</v>
      </c>
      <c r="C89" s="85" t="s">
        <v>354</v>
      </c>
      <c r="D89" s="85" t="s">
        <v>353</v>
      </c>
      <c r="E89" s="85" t="s">
        <v>39</v>
      </c>
      <c r="F89" s="88" t="n">
        <v>0.081</v>
      </c>
      <c r="G89" s="85" t="s">
        <v>337</v>
      </c>
      <c r="H89" s="87" t="n">
        <f aca="false">Inputs!$B$20</f>
        <v>0.1</v>
      </c>
      <c r="I89" s="88" t="n">
        <f aca="false">VLOOKUP(E89,Inputs!$D$5:$E$23,2,FALSE())</f>
        <v>0</v>
      </c>
      <c r="J89" s="88" t="n">
        <f aca="false">F89*I89*(1+H89)</f>
        <v>0</v>
      </c>
      <c r="K89" s="104" t="n">
        <f aca="false">IF(ISNUMBER(MATCH(G89,{"tube","each","plate","vial","kit","bottle","aliquot","strainer","cap","lane-rxn","tip","strip","lane","channel","library","sample"},0)),ROUNDUP(J89,0),ROUND(J89,2))</f>
        <v>0</v>
      </c>
      <c r="L89" s="105" t="n">
        <f aca="false">IFERROR(IF(OR(D89="",P89="",Q89="",Q89=0),"",IF(VLOOKUP(R89,Unit_Conversions!$A$5:$C$28,3,FALSE())=VLOOKUP(G89,Unit_Conversions!$A$5:$C$28,3,FALSE()),P89*VLOOKUP(G89,Unit_Conversions!$A$5:$C$28,2,FALSE())/(Q89*VLOOKUP(R89,Unit_Conversions!$A$5:$C$28,2,FALSE())),"")),"")</f>
        <v>0.1996</v>
      </c>
      <c r="M89" s="105" t="n">
        <f aca="false">IFERROR(F89*L89,"")</f>
        <v>0.0161676</v>
      </c>
      <c r="N89" s="106" t="n">
        <f aca="false">IFERROR(J89*L89,"")</f>
        <v>0</v>
      </c>
      <c r="O89" s="94" t="s">
        <v>1024</v>
      </c>
      <c r="P89" s="1" t="n">
        <f aca="false">IFERROR(IF(LEFT(D89,1)="K",VLOOKUP(D89,Kit_Catalog!$A:$K,8,FALSE()),VLOOKUP(D89,Additional_Supply_Catalog!$A:$K,7,FALSE())),"")</f>
        <v>49.9</v>
      </c>
      <c r="Q89" s="1" t="n">
        <f aca="false">IFERROR(IF(LEFT(D89,1)="K",VLOOKUP(D89,Kit_Catalog!$A:$K,7,FALSE()),VLOOKUP(D89,Additional_Supply_Catalog!$A:$K,8,FALSE())),"")</f>
        <v>250</v>
      </c>
      <c r="R89" s="1" t="str">
        <f aca="false">IFERROR(IF(LEFT(D89,1)="K","rxn",VLOOKUP(D89,Additional_Supply_Catalog!$A:$K,9,FALSE())),"")</f>
        <v>mL</v>
      </c>
    </row>
    <row r="90" customFormat="false" ht="14.25" hidden="false" customHeight="true" outlineLevel="0" collapsed="false">
      <c r="A90" s="85" t="s">
        <v>1016</v>
      </c>
      <c r="B90" s="85" t="s">
        <v>901</v>
      </c>
      <c r="C90" s="85" t="s">
        <v>348</v>
      </c>
      <c r="D90" s="85" t="s">
        <v>346</v>
      </c>
      <c r="E90" s="85" t="s">
        <v>39</v>
      </c>
      <c r="F90" s="88" t="n">
        <v>0.8</v>
      </c>
      <c r="G90" s="85" t="s">
        <v>337</v>
      </c>
      <c r="H90" s="87" t="n">
        <f aca="false">Inputs!$B$20</f>
        <v>0.1</v>
      </c>
      <c r="I90" s="88" t="n">
        <f aca="false">VLOOKUP(E90,Inputs!$D$5:$E$23,2,FALSE())</f>
        <v>0</v>
      </c>
      <c r="J90" s="88" t="n">
        <f aca="false">F90*I90*(1+H90)</f>
        <v>0</v>
      </c>
      <c r="K90" s="104" t="n">
        <f aca="false">IF(ISNUMBER(MATCH(G90,{"tube","each","plate","vial","kit","bottle","aliquot","strainer","cap","lane-rxn","tip","strip","lane","channel","library","sample"},0)),ROUNDUP(J90,0),ROUND(J90,2))</f>
        <v>0</v>
      </c>
      <c r="L90" s="105" t="n">
        <f aca="false">IFERROR(IF(OR(D90="",P90="",Q90="",Q90=0),"",IF(VLOOKUP(R90,Unit_Conversions!$A$5:$C$28,3,FALSE())=VLOOKUP(G90,Unit_Conversions!$A$5:$C$28,3,FALSE()),P90*VLOOKUP(G90,Unit_Conversions!$A$5:$C$28,2,FALSE())/(Q90*VLOOKUP(R90,Unit_Conversions!$A$5:$C$28,2,FALSE())),"")),"")</f>
        <v>0.218</v>
      </c>
      <c r="M90" s="105" t="n">
        <f aca="false">IFERROR(F90*L90,"")</f>
        <v>0.1744</v>
      </c>
      <c r="N90" s="106" t="n">
        <f aca="false">IFERROR(J90*L90,"")</f>
        <v>0</v>
      </c>
      <c r="O90" s="94" t="s">
        <v>1025</v>
      </c>
      <c r="P90" s="1" t="n">
        <f aca="false">IFERROR(IF(LEFT(D90,1)="K",VLOOKUP(D90,Kit_Catalog!$A:$K,8,FALSE()),VLOOKUP(D90,Additional_Supply_Catalog!$A:$K,7,FALSE())),"")</f>
        <v>109</v>
      </c>
      <c r="Q90" s="1" t="n">
        <f aca="false">IFERROR(IF(LEFT(D90,1)="K",VLOOKUP(D90,Kit_Catalog!$A:$K,7,FALSE()),VLOOKUP(D90,Additional_Supply_Catalog!$A:$K,8,FALSE())),"")</f>
        <v>500</v>
      </c>
      <c r="R90" s="1" t="str">
        <f aca="false">IFERROR(IF(LEFT(D90,1)="K","rxn",VLOOKUP(D90,Additional_Supply_Catalog!$A:$K,9,FALSE())),"")</f>
        <v>mL</v>
      </c>
    </row>
    <row r="91" customFormat="false" ht="21.75" hidden="false" customHeight="true" outlineLevel="0" collapsed="false">
      <c r="A91" s="85" t="s">
        <v>1016</v>
      </c>
      <c r="B91" s="85" t="s">
        <v>901</v>
      </c>
      <c r="C91" s="85" t="s">
        <v>369</v>
      </c>
      <c r="D91" s="85" t="s">
        <v>367</v>
      </c>
      <c r="E91" s="85" t="s">
        <v>39</v>
      </c>
      <c r="F91" s="88" t="n">
        <v>1</v>
      </c>
      <c r="G91" s="85" t="s">
        <v>373</v>
      </c>
      <c r="H91" s="87" t="n">
        <f aca="false">Inputs!$B$20</f>
        <v>0.1</v>
      </c>
      <c r="I91" s="88" t="n">
        <f aca="false">VLOOKUP(E91,Inputs!$D$5:$E$23,2,FALSE())</f>
        <v>0</v>
      </c>
      <c r="J91" s="88" t="n">
        <f aca="false">F91*I91*(1+H91)</f>
        <v>0</v>
      </c>
      <c r="K91" s="104" t="n">
        <f aca="false">IF(ISNUMBER(MATCH(G91,{"tube","each","plate","vial","kit","bottle","aliquot","strainer","cap","lane-rxn","tip","strip","lane","channel","library","sample"},0)),ROUNDUP(J91,0),ROUND(J91,2))</f>
        <v>0</v>
      </c>
      <c r="L91" s="105" t="n">
        <f aca="false">IFERROR(IF(OR(D91="",P91="",Q91="",Q91=0),"",IF(VLOOKUP(R91,Unit_Conversions!$A$5:$C$28,3,FALSE())=VLOOKUP(G91,Unit_Conversions!$A$5:$C$28,3,FALSE()),P91*VLOOKUP(G91,Unit_Conversions!$A$5:$C$28,2,FALSE())/(Q91*VLOOKUP(R91,Unit_Conversions!$A$5:$C$28,2,FALSE())),"")),"")</f>
        <v>0.8533</v>
      </c>
      <c r="M91" s="105" t="n">
        <f aca="false">IFERROR(F91*L91,"")</f>
        <v>0.8533</v>
      </c>
      <c r="N91" s="106" t="n">
        <f aca="false">IFERROR(J91*L91,"")</f>
        <v>0</v>
      </c>
      <c r="O91" s="94" t="s">
        <v>1026</v>
      </c>
      <c r="P91" s="1" t="n">
        <f aca="false">IFERROR(IF(LEFT(D91,1)="K",VLOOKUP(D91,Kit_Catalog!$A:$K,8,FALSE()),VLOOKUP(D91,Additional_Supply_Catalog!$A:$K,7,FALSE())),"")</f>
        <v>426.65</v>
      </c>
      <c r="Q91" s="1" t="n">
        <f aca="false">IFERROR(IF(LEFT(D91,1)="K",VLOOKUP(D91,Kit_Catalog!$A:$K,7,FALSE()),VLOOKUP(D91,Additional_Supply_Catalog!$A:$K,8,FALSE())),"")</f>
        <v>500</v>
      </c>
      <c r="R91" s="1" t="str">
        <f aca="false">IFERROR(IF(LEFT(D91,1)="K","rxn",VLOOKUP(D91,Additional_Supply_Catalog!$A:$K,9,FALSE())),"")</f>
        <v>sample</v>
      </c>
    </row>
    <row r="92" customFormat="false" ht="14.25" hidden="false" customHeight="true" outlineLevel="0" collapsed="false">
      <c r="A92" s="85" t="s">
        <v>1016</v>
      </c>
      <c r="B92" s="85" t="s">
        <v>901</v>
      </c>
      <c r="C92" s="85" t="s">
        <v>1007</v>
      </c>
      <c r="D92" s="85" t="s">
        <v>579</v>
      </c>
      <c r="E92" s="85" t="s">
        <v>39</v>
      </c>
      <c r="F92" s="88" t="n">
        <v>1</v>
      </c>
      <c r="G92" s="85" t="s">
        <v>548</v>
      </c>
      <c r="H92" s="87" t="n">
        <f aca="false">Inputs!$B$20</f>
        <v>0.1</v>
      </c>
      <c r="I92" s="88" t="n">
        <f aca="false">VLOOKUP(E92,Inputs!$D$5:$E$23,2,FALSE())</f>
        <v>0</v>
      </c>
      <c r="J92" s="88" t="n">
        <f aca="false">F92*I92*(1+H92)</f>
        <v>0</v>
      </c>
      <c r="K92" s="104" t="n">
        <f aca="false">IF(ISNUMBER(MATCH(G92,{"tube","each","plate","vial","kit","bottle","aliquot","strainer","cap","lane-rxn","tip","strip","lane","channel","library","sample"},0)),ROUNDUP(J92,0),ROUND(J92,2))</f>
        <v>0</v>
      </c>
      <c r="L92" s="105" t="n">
        <f aca="false">IFERROR(IF(OR(D92="",P92="",Q92="",Q92=0),"",IF(VLOOKUP(R92,Unit_Conversions!$A$5:$C$28,3,FALSE())=VLOOKUP(G92,Unit_Conversions!$A$5:$C$28,3,FALSE()),P92*VLOOKUP(G92,Unit_Conversions!$A$5:$C$28,2,FALSE())/(Q92*VLOOKUP(R92,Unit_Conversions!$A$5:$C$28,2,FALSE())),"")),"")</f>
        <v>0.27</v>
      </c>
      <c r="M92" s="105" t="n">
        <f aca="false">IFERROR(F92*L92,"")</f>
        <v>0.27</v>
      </c>
      <c r="N92" s="106" t="n">
        <f aca="false">IFERROR(J92*L92,"")</f>
        <v>0</v>
      </c>
      <c r="O92" s="94" t="s">
        <v>1026</v>
      </c>
      <c r="P92" s="1" t="n">
        <f aca="false">IFERROR(IF(LEFT(D92,1)="K",VLOOKUP(D92,Kit_Catalog!$A:$K,8,FALSE()),VLOOKUP(D92,Additional_Supply_Catalog!$A:$K,7,FALSE())),"")</f>
        <v>135</v>
      </c>
      <c r="Q92" s="1" t="n">
        <f aca="false">IFERROR(IF(LEFT(D92,1)="K",VLOOKUP(D92,Kit_Catalog!$A:$K,7,FALSE()),VLOOKUP(D92,Additional_Supply_Catalog!$A:$K,8,FALSE())),"")</f>
        <v>500</v>
      </c>
      <c r="R92" s="1" t="str">
        <f aca="false">IFERROR(IF(LEFT(D92,1)="K","rxn",VLOOKUP(D92,Additional_Supply_Catalog!$A:$K,9,FALSE())),"")</f>
        <v>tube</v>
      </c>
    </row>
    <row r="93" customFormat="false" ht="14.25" hidden="false" customHeight="true" outlineLevel="0" collapsed="false">
      <c r="A93" s="85" t="s">
        <v>1016</v>
      </c>
      <c r="B93" s="85" t="s">
        <v>901</v>
      </c>
      <c r="C93" s="85" t="s">
        <v>1027</v>
      </c>
      <c r="D93" s="85" t="s">
        <v>375</v>
      </c>
      <c r="E93" s="85" t="s">
        <v>39</v>
      </c>
      <c r="F93" s="88" t="n">
        <v>1</v>
      </c>
      <c r="G93" s="85" t="s">
        <v>373</v>
      </c>
      <c r="H93" s="87" t="n">
        <f aca="false">Inputs!$B$20</f>
        <v>0.1</v>
      </c>
      <c r="I93" s="88" t="n">
        <f aca="false">VLOOKUP(E93,Inputs!$D$5:$E$23,2,FALSE())</f>
        <v>0</v>
      </c>
      <c r="J93" s="88" t="n">
        <f aca="false">F93*I93*(1+H93)</f>
        <v>0</v>
      </c>
      <c r="K93" s="104" t="n">
        <f aca="false">IF(ISNUMBER(MATCH(G93,{"tube","each","plate","vial","kit","bottle","aliquot","strainer","cap","lane-rxn","tip","strip","lane","channel","library","sample"},0)),ROUNDUP(J93,0),ROUND(J93,2))</f>
        <v>0</v>
      </c>
      <c r="L93" s="105" t="str">
        <f aca="false">IFERROR(IF(OR(D93="",P93="",Q93="",Q93=0),"",IF(VLOOKUP(R93,Unit_Conversions!$A$5:$C$28,3,FALSE())=VLOOKUP(G93,Unit_Conversions!$A$5:$C$28,3,FALSE()),P93*VLOOKUP(G93,Unit_Conversions!$A$5:$C$28,2,FALSE())/(Q93*VLOOKUP(R93,Unit_Conversions!$A$5:$C$28,2,FALSE())),"")),"")</f>
        <v/>
      </c>
      <c r="M93" s="105" t="str">
        <f aca="false">IFERROR(F93*L93,"")</f>
        <v/>
      </c>
      <c r="N93" s="106" t="str">
        <f aca="false">IFERROR(J93*L93,"")</f>
        <v/>
      </c>
      <c r="O93" s="94" t="s">
        <v>1028</v>
      </c>
      <c r="P93" s="1" t="n">
        <f aca="false">IFERROR(IF(LEFT(D93,1)="K",VLOOKUP(D93,Kit_Catalog!$A:$K,8,FALSE()),VLOOKUP(D93,Additional_Supply_Catalog!$A:$K,7,FALSE())),"")</f>
        <v>606.25</v>
      </c>
      <c r="Q93" s="1" t="n">
        <f aca="false">IFERROR(IF(LEFT(D93,1)="K",VLOOKUP(D93,Kit_Catalog!$A:$K,7,FALSE()),VLOOKUP(D93,Additional_Supply_Catalog!$A:$K,8,FALSE())),"")</f>
        <v>1</v>
      </c>
      <c r="R93" s="1" t="str">
        <f aca="false">IFERROR(IF(LEFT(D93,1)="K","rxn",VLOOKUP(D93,Additional_Supply_Catalog!$A:$K,9,FALSE())),"")</f>
        <v>kit</v>
      </c>
    </row>
    <row r="94" customFormat="false" ht="14.25" hidden="false" customHeight="true" outlineLevel="0" collapsed="false">
      <c r="A94" s="85" t="s">
        <v>1016</v>
      </c>
      <c r="B94" s="85" t="s">
        <v>901</v>
      </c>
      <c r="C94" s="85" t="s">
        <v>558</v>
      </c>
      <c r="D94" s="85" t="s">
        <v>557</v>
      </c>
      <c r="E94" s="85" t="s">
        <v>39</v>
      </c>
      <c r="F94" s="88" t="n">
        <v>0.125</v>
      </c>
      <c r="G94" s="85" t="s">
        <v>562</v>
      </c>
      <c r="H94" s="87" t="n">
        <f aca="false">Inputs!$B$20</f>
        <v>0.1</v>
      </c>
      <c r="I94" s="88" t="n">
        <f aca="false">VLOOKUP(E94,Inputs!$D$5:$E$23,2,FALSE())</f>
        <v>0</v>
      </c>
      <c r="J94" s="88" t="n">
        <f aca="false">F94*I94*(1+H94)</f>
        <v>0</v>
      </c>
      <c r="K94" s="104" t="n">
        <f aca="false">IF(ISNUMBER(MATCH(G94,{"tube","each","plate","vial","kit","bottle","aliquot","strainer","cap","lane-rxn","tip","strip","lane","channel","library","sample"},0)),ROUNDUP(J94,0),ROUND(J94,2))</f>
        <v>0</v>
      </c>
      <c r="L94" s="105" t="n">
        <f aca="false">IFERROR(IF(OR(D94="",P94="",Q94="",Q94=0),"",IF(VLOOKUP(R94,Unit_Conversions!$A$5:$C$28,3,FALSE())=VLOOKUP(G94,Unit_Conversions!$A$5:$C$28,3,FALSE()),P94*VLOOKUP(G94,Unit_Conversions!$A$5:$C$28,2,FALSE())/(Q94*VLOOKUP(R94,Unit_Conversions!$A$5:$C$28,2,FALSE())),"")),"")</f>
        <v>0.7804</v>
      </c>
      <c r="M94" s="105" t="n">
        <f aca="false">IFERROR(F94*L94,"")</f>
        <v>0.09755</v>
      </c>
      <c r="N94" s="106" t="n">
        <f aca="false">IFERROR(J94*L94,"")</f>
        <v>0</v>
      </c>
      <c r="O94" s="94" t="s">
        <v>1029</v>
      </c>
      <c r="P94" s="1" t="n">
        <f aca="false">IFERROR(IF(LEFT(D94,1)="K",VLOOKUP(D94,Kit_Catalog!$A:$K,8,FALSE()),VLOOKUP(D94,Additional_Supply_Catalog!$A:$K,7,FALSE())),"")</f>
        <v>97.55</v>
      </c>
      <c r="Q94" s="1" t="n">
        <f aca="false">IFERROR(IF(LEFT(D94,1)="K",VLOOKUP(D94,Kit_Catalog!$A:$K,7,FALSE()),VLOOKUP(D94,Additional_Supply_Catalog!$A:$K,8,FALSE())),"")</f>
        <v>125</v>
      </c>
      <c r="R94" s="1" t="str">
        <f aca="false">IFERROR(IF(LEFT(D94,1)="K","rxn",VLOOKUP(D94,Additional_Supply_Catalog!$A:$K,9,FALSE())),"")</f>
        <v>strip</v>
      </c>
    </row>
    <row r="95" customFormat="false" ht="14.25" hidden="false" customHeight="true" outlineLevel="0" collapsed="false">
      <c r="A95" s="85"/>
      <c r="B95" s="85"/>
      <c r="C95" s="85"/>
      <c r="D95" s="85"/>
      <c r="E95" s="85"/>
      <c r="F95" s="88"/>
      <c r="G95" s="85"/>
      <c r="H95" s="87"/>
      <c r="I95" s="88"/>
      <c r="J95" s="88"/>
      <c r="K95" s="104"/>
      <c r="L95" s="105"/>
      <c r="M95" s="105"/>
      <c r="N95" s="106"/>
      <c r="O95" s="94"/>
    </row>
    <row r="96" customFormat="false" ht="14.25" hidden="false" customHeight="true" outlineLevel="0" collapsed="false">
      <c r="A96" s="85"/>
      <c r="B96" s="85"/>
      <c r="C96" s="85"/>
      <c r="D96" s="85"/>
      <c r="E96" s="85"/>
      <c r="F96" s="88"/>
      <c r="G96" s="85"/>
      <c r="H96" s="87"/>
      <c r="I96" s="88"/>
      <c r="J96" s="88"/>
      <c r="K96" s="104"/>
      <c r="L96" s="105"/>
      <c r="M96" s="105"/>
      <c r="N96" s="106"/>
      <c r="O96" s="94"/>
    </row>
    <row r="97" customFormat="false" ht="14.25" hidden="false" customHeight="true" outlineLevel="0" collapsed="false">
      <c r="A97" s="85"/>
      <c r="B97" s="85"/>
      <c r="C97" s="85"/>
      <c r="D97" s="85"/>
      <c r="E97" s="85"/>
      <c r="F97" s="88"/>
      <c r="G97" s="85"/>
      <c r="H97" s="87"/>
      <c r="I97" s="88"/>
      <c r="J97" s="88"/>
      <c r="K97" s="104"/>
      <c r="L97" s="105"/>
      <c r="M97" s="105"/>
      <c r="N97" s="106"/>
      <c r="O97" s="94"/>
    </row>
  </sheetData>
  <autoFilter ref="A1:O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0"/>
    <col collapsed="false" customWidth="true" hidden="false" outlineLevel="0" max="3" min="3" style="1" width="8"/>
    <col collapsed="false" customWidth="true" hidden="false" outlineLevel="0" max="4" min="4" style="1" width="12"/>
    <col collapsed="false" customWidth="true" hidden="false" outlineLevel="0" max="5" min="5" style="1" width="13"/>
    <col collapsed="false" customWidth="true" hidden="false" outlineLevel="0" max="6" min="6" style="1" width="14"/>
  </cols>
  <sheetData>
    <row r="1" customFormat="false" ht="15" hidden="false" customHeight="true" outlineLevel="0" collapsed="false">
      <c r="A1" s="76" t="s">
        <v>880</v>
      </c>
      <c r="B1" s="76" t="s">
        <v>881</v>
      </c>
      <c r="C1" s="76" t="s">
        <v>884</v>
      </c>
      <c r="D1" s="76" t="s">
        <v>1030</v>
      </c>
      <c r="E1" s="76" t="s">
        <v>888</v>
      </c>
      <c r="F1" s="76" t="s">
        <v>7</v>
      </c>
    </row>
    <row r="2" customFormat="false" ht="15" hidden="false" customHeight="true" outlineLevel="0" collapsed="false">
      <c r="A2" s="96" t="s">
        <v>1031</v>
      </c>
      <c r="B2" s="96"/>
      <c r="C2" s="96" t="s">
        <v>534</v>
      </c>
      <c r="D2" s="100" t="n">
        <f aca="false">SUMIFS(Pre_GEM_Consumables!$J$2:$J$110,Pre_GEM_Consumables!$C$2:$C$110,A2,Pre_GEM_Consumables!$G$2:$G$110,C2,Pre_GEM_Consumables!$B$2:$B$110,"Item")+SUMIFS(Post_GEM_Consumables!$J$2:$J$97,Post_GEM_Consumables!$C$2:$C$97,A2,Post_GEM_Consumables!$G$2:$G$97,C2,Post_GEM_Consumables!$B$2:$B$97,"Item")</f>
        <v>0</v>
      </c>
      <c r="E2" s="108" t="n">
        <f aca="false">IF(ISNUMBER(MATCH(C2,{"tube","each","plate","vial","kit","bottle","aliquot","strainer","cap","lane-rxn","tip","strip","lane","channel","library","sample"},0)),ROUNDUP(D2,0),ROUND(D2,2))</f>
        <v>0</v>
      </c>
      <c r="F2" s="109" t="n">
        <f aca="false">SUMIFS(Pre_GEM_Consumables!$N$2:$N$110,Pre_GEM_Consumables!$C$2:$C$110,A2,Pre_GEM_Consumables!$G$2:$G$110,C2)+SUMIFS(Post_GEM_Consumables!$N$2:$N$97,Post_GEM_Consumables!$C$2:$C$97,A2,Post_GEM_Consumables!$G$2:$G$97,C2)</f>
        <v>0</v>
      </c>
    </row>
    <row r="3" customFormat="false" ht="15" hidden="false" customHeight="true" outlineLevel="0" collapsed="false">
      <c r="A3" s="96" t="s">
        <v>955</v>
      </c>
      <c r="B3" s="96"/>
      <c r="C3" s="96" t="s">
        <v>571</v>
      </c>
      <c r="D3" s="100" t="n">
        <f aca="false">SUMIFS(Pre_GEM_Consumables!$J$2:$J$110,Pre_GEM_Consumables!$C$2:$C$110,A3,Pre_GEM_Consumables!$G$2:$G$110,C3,Pre_GEM_Consumables!$B$2:$B$110,"Item")+SUMIFS(Post_GEM_Consumables!$J$2:$J$97,Post_GEM_Consumables!$C$2:$C$97,A3,Post_GEM_Consumables!$G$2:$G$97,C3,Post_GEM_Consumables!$B$2:$B$97,"Item")</f>
        <v>59.4</v>
      </c>
      <c r="E3" s="108" t="n">
        <f aca="false">IF(ISNUMBER(MATCH(C3,{"tube","each","plate","vial","kit","bottle","aliquot","strainer","cap","lane-rxn","tip","strip","lane","channel","library","sample"},0)),ROUNDUP(D3,0),ROUND(D3,2))</f>
        <v>60</v>
      </c>
      <c r="F3" s="109" t="n">
        <f aca="false">SUMIFS(Pre_GEM_Consumables!$N$2:$N$110,Pre_GEM_Consumables!$C$2:$C$110,A3,Pre_GEM_Consumables!$G$2:$G$110,C3)+SUMIFS(Post_GEM_Consumables!$N$2:$N$97,Post_GEM_Consumables!$C$2:$C$97,A3,Post_GEM_Consumables!$G$2:$G$97,C3)</f>
        <v>10.665864</v>
      </c>
    </row>
    <row r="4" customFormat="false" ht="15" hidden="false" customHeight="true" outlineLevel="0" collapsed="false">
      <c r="A4" s="96" t="s">
        <v>902</v>
      </c>
      <c r="B4" s="96"/>
      <c r="C4" s="96" t="s">
        <v>548</v>
      </c>
      <c r="D4" s="100" t="n">
        <f aca="false">SUMIFS(Pre_GEM_Consumables!$J$2:$J$110,Pre_GEM_Consumables!$C$2:$C$110,A4,Pre_GEM_Consumables!$G$2:$G$110,C4,Pre_GEM_Consumables!$B$2:$B$110,"Item")+SUMIFS(Post_GEM_Consumables!$J$2:$J$97,Post_GEM_Consumables!$C$2:$C$97,A4,Post_GEM_Consumables!$G$2:$G$97,C4,Post_GEM_Consumables!$B$2:$B$97,"Item")</f>
        <v>59.4</v>
      </c>
      <c r="E4" s="108" t="n">
        <f aca="false">IF(ISNUMBER(MATCH(C4,{"tube","each","plate","vial","kit","bottle","aliquot","strainer","cap","lane-rxn","tip","strip","lane","channel","library","sample"},0)),ROUNDUP(D4,0),ROUND(D4,2))</f>
        <v>60</v>
      </c>
      <c r="F4" s="109" t="n">
        <f aca="false">SUMIFS(Pre_GEM_Consumables!$N$2:$N$110,Pre_GEM_Consumables!$C$2:$C$110,A4,Pre_GEM_Consumables!$G$2:$G$110,C4)+SUMIFS(Post_GEM_Consumables!$N$2:$N$97,Post_GEM_Consumables!$C$2:$C$97,A4,Post_GEM_Consumables!$G$2:$G$97,C4)</f>
        <v>13.19868</v>
      </c>
    </row>
    <row r="5" customFormat="false" ht="15" hidden="false" customHeight="true" outlineLevel="0" collapsed="false">
      <c r="A5" s="96" t="s">
        <v>1032</v>
      </c>
      <c r="B5" s="96"/>
      <c r="C5" s="96" t="s">
        <v>1033</v>
      </c>
      <c r="D5" s="100" t="n">
        <f aca="false">SUMIFS(Pre_GEM_Consumables!$J$2:$J$110,Pre_GEM_Consumables!$C$2:$C$110,A5,Pre_GEM_Consumables!$G$2:$G$110,C5,Pre_GEM_Consumables!$B$2:$B$110,"Item")+SUMIFS(Post_GEM_Consumables!$J$2:$J$97,Post_GEM_Consumables!$C$2:$C$97,A5,Post_GEM_Consumables!$G$2:$G$97,C5,Post_GEM_Consumables!$B$2:$B$97,"Item")</f>
        <v>0</v>
      </c>
      <c r="E5" s="108" t="n">
        <f aca="false">IF(ISNUMBER(MATCH(C5,{"tube","each","plate","vial","kit","bottle","aliquot","strainer","cap","lane-rxn","tip","strip","lane","channel","library","sample"},0)),ROUNDUP(D5,0),ROUND(D5,2))</f>
        <v>0</v>
      </c>
      <c r="F5" s="109" t="n">
        <f aca="false">SUMIFS(Pre_GEM_Consumables!$N$2:$N$110,Pre_GEM_Consumables!$C$2:$C$110,A5,Pre_GEM_Consumables!$G$2:$G$110,C5)+SUMIFS(Post_GEM_Consumables!$N$2:$N$97,Post_GEM_Consumables!$C$2:$C$97,A5,Post_GEM_Consumables!$G$2:$G$97,C5)</f>
        <v>0</v>
      </c>
    </row>
    <row r="6" customFormat="false" ht="15" hidden="false" customHeight="true" outlineLevel="0" collapsed="false">
      <c r="A6" s="96" t="s">
        <v>905</v>
      </c>
      <c r="B6" s="96"/>
      <c r="C6" s="96" t="s">
        <v>373</v>
      </c>
      <c r="D6" s="100" t="n">
        <f aca="false">SUMIFS(Pre_GEM_Consumables!$J$2:$J$110,Pre_GEM_Consumables!$C$2:$C$110,A6,Pre_GEM_Consumables!$G$2:$G$110,C6,Pre_GEM_Consumables!$B$2:$B$110,"Item")+SUMIFS(Post_GEM_Consumables!$J$2:$J$97,Post_GEM_Consumables!$C$2:$C$97,A6,Post_GEM_Consumables!$G$2:$G$97,C6,Post_GEM_Consumables!$B$2:$B$97,"Item")</f>
        <v>59.4</v>
      </c>
      <c r="E6" s="108" t="n">
        <f aca="false">IF(ISNUMBER(MATCH(C6,{"tube","each","plate","vial","kit","bottle","aliquot","strainer","cap","lane-rxn","tip","strip","lane","channel","library","sample"},0)),ROUNDUP(D6,0),ROUND(D6,2))</f>
        <v>60</v>
      </c>
      <c r="F6" s="109" t="n">
        <f aca="false">SUMIFS(Pre_GEM_Consumables!$N$2:$N$110,Pre_GEM_Consumables!$C$2:$C$110,A6,Pre_GEM_Consumables!$G$2:$G$110,C6)+SUMIFS(Post_GEM_Consumables!$N$2:$N$97,Post_GEM_Consumables!$C$2:$C$97,A6,Post_GEM_Consumables!$G$2:$G$97,C6)</f>
        <v>231.66</v>
      </c>
    </row>
    <row r="7" customFormat="false" ht="15" hidden="false" customHeight="true" outlineLevel="0" collapsed="false">
      <c r="A7" s="96" t="s">
        <v>906</v>
      </c>
      <c r="B7" s="96"/>
      <c r="C7" s="96" t="s">
        <v>337</v>
      </c>
      <c r="D7" s="100" t="n">
        <f aca="false">SUMIFS(Pre_GEM_Consumables!$J$2:$J$110,Pre_GEM_Consumables!$C$2:$C$110,A7,Pre_GEM_Consumables!$G$2:$G$110,C7,Pre_GEM_Consumables!$B$2:$B$110,"Item")+SUMIFS(Post_GEM_Consumables!$J$2:$J$97,Post_GEM_Consumables!$C$2:$C$97,A7,Post_GEM_Consumables!$G$2:$G$97,C7,Post_GEM_Consumables!$B$2:$B$97,"Item")</f>
        <v>877.8</v>
      </c>
      <c r="E7" s="108" t="n">
        <f aca="false">IF(ISNUMBER(MATCH(C7,{"tube","each","plate","vial","kit","bottle","aliquot","strainer","cap","lane-rxn","tip","strip","lane","channel","library","sample"},0)),ROUNDUP(D7,0),ROUND(D7,2))</f>
        <v>877.8</v>
      </c>
      <c r="F7" s="109" t="n">
        <f aca="false">SUMIFS(Pre_GEM_Consumables!$N$2:$N$110,Pre_GEM_Consumables!$C$2:$C$110,A7,Pre_GEM_Consumables!$G$2:$G$110,C7)+SUMIFS(Post_GEM_Consumables!$N$2:$N$97,Post_GEM_Consumables!$C$2:$C$97,A7,Post_GEM_Consumables!$G$2:$G$97,C7)</f>
        <v>11.902968</v>
      </c>
    </row>
    <row r="8" customFormat="false" ht="15" hidden="false" customHeight="true" outlineLevel="0" collapsed="false">
      <c r="A8" s="96" t="s">
        <v>481</v>
      </c>
      <c r="B8" s="96"/>
      <c r="C8" s="96" t="s">
        <v>337</v>
      </c>
      <c r="D8" s="100" t="n">
        <f aca="false">SUMIFS(Pre_GEM_Consumables!$J$2:$J$110,Pre_GEM_Consumables!$C$2:$C$110,A8,Pre_GEM_Consumables!$G$2:$G$110,C8,Pre_GEM_Consumables!$B$2:$B$110,"Item")+SUMIFS(Post_GEM_Consumables!$J$2:$J$97,Post_GEM_Consumables!$C$2:$C$97,A8,Post_GEM_Consumables!$G$2:$G$97,C8,Post_GEM_Consumables!$B$2:$B$97,"Item")</f>
        <v>17.82</v>
      </c>
      <c r="E8" s="108" t="n">
        <f aca="false">IF(ISNUMBER(MATCH(C8,{"tube","each","plate","vial","kit","bottle","aliquot","strainer","cap","lane-rxn","tip","strip","lane","channel","library","sample"},0)),ROUNDUP(D8,0),ROUND(D8,2))</f>
        <v>17.82</v>
      </c>
      <c r="F8" s="109" t="n">
        <f aca="false">SUMIFS(Pre_GEM_Consumables!$N$2:$N$110,Pre_GEM_Consumables!$C$2:$C$110,A8,Pre_GEM_Consumables!$G$2:$G$110,C8)+SUMIFS(Post_GEM_Consumables!$N$2:$N$97,Post_GEM_Consumables!$C$2:$C$97,A8,Post_GEM_Consumables!$G$2:$G$97,C8)</f>
        <v>5.7024</v>
      </c>
    </row>
    <row r="9" customFormat="false" ht="15" hidden="false" customHeight="true" outlineLevel="0" collapsed="false">
      <c r="A9" s="96" t="s">
        <v>908</v>
      </c>
      <c r="B9" s="96"/>
      <c r="C9" s="96" t="s">
        <v>488</v>
      </c>
      <c r="D9" s="100" t="n">
        <f aca="false">SUMIFS(Pre_GEM_Consumables!$J$2:$J$110,Pre_GEM_Consumables!$C$2:$C$110,A9,Pre_GEM_Consumables!$G$2:$G$110,C9,Pre_GEM_Consumables!$B$2:$B$110,"Item")+SUMIFS(Post_GEM_Consumables!$J$2:$J$97,Post_GEM_Consumables!$C$2:$C$97,A9,Post_GEM_Consumables!$G$2:$G$97,C9,Post_GEM_Consumables!$B$2:$B$97,"Item")</f>
        <v>75.405</v>
      </c>
      <c r="E9" s="108" t="n">
        <f aca="false">IF(ISNUMBER(MATCH(C9,{"tube","each","plate","vial","kit","bottle","aliquot","strainer","cap","lane-rxn","tip","strip","lane","channel","library","sample"},0)),ROUNDUP(D9,0),ROUND(D9,2))</f>
        <v>75.41</v>
      </c>
      <c r="F9" s="109" t="n">
        <f aca="false">SUMIFS(Pre_GEM_Consumables!$N$2:$N$110,Pre_GEM_Consumables!$C$2:$C$110,A9,Pre_GEM_Consumables!$G$2:$G$110,C9)+SUMIFS(Post_GEM_Consumables!$N$2:$N$97,Post_GEM_Consumables!$C$2:$C$97,A9,Post_GEM_Consumables!$G$2:$G$97,C9)</f>
        <v>292.5714</v>
      </c>
    </row>
    <row r="10" customFormat="false" ht="15" hidden="false" customHeight="true" outlineLevel="0" collapsed="false">
      <c r="A10" s="96" t="s">
        <v>492</v>
      </c>
      <c r="B10" s="96"/>
      <c r="C10" s="96" t="s">
        <v>397</v>
      </c>
      <c r="D10" s="100" t="n">
        <f aca="false">SUMIFS(Pre_GEM_Consumables!$J$2:$J$110,Pre_GEM_Consumables!$C$2:$C$110,A10,Pre_GEM_Consumables!$G$2:$G$110,C10,Pre_GEM_Consumables!$B$2:$B$110,"Item")+SUMIFS(Post_GEM_Consumables!$J$2:$J$97,Post_GEM_Consumables!$C$2:$C$97,A10,Post_GEM_Consumables!$G$2:$G$97,C10,Post_GEM_Consumables!$B$2:$B$97,"Item")</f>
        <v>1188</v>
      </c>
      <c r="E10" s="108" t="n">
        <f aca="false">IF(ISNUMBER(MATCH(C10,{"tube","each","plate","vial","kit","bottle","aliquot","strainer","cap","lane-rxn","tip","strip","lane","channel","library","sample"},0)),ROUNDUP(D10,0),ROUND(D10,2))</f>
        <v>1188</v>
      </c>
      <c r="F10" s="109" t="n">
        <f aca="false">SUMIFS(Pre_GEM_Consumables!$N$2:$N$110,Pre_GEM_Consumables!$C$2:$C$110,A10,Pre_GEM_Consumables!$G$2:$G$110,C10)+SUMIFS(Post_GEM_Consumables!$N$2:$N$97,Post_GEM_Consumables!$C$2:$C$97,A10,Post_GEM_Consumables!$G$2:$G$97,C10)</f>
        <v>28.79712</v>
      </c>
    </row>
    <row r="11" customFormat="false" ht="15" hidden="false" customHeight="true" outlineLevel="0" collapsed="false">
      <c r="A11" s="96" t="s">
        <v>596</v>
      </c>
      <c r="B11" s="96"/>
      <c r="C11" s="96" t="s">
        <v>373</v>
      </c>
      <c r="D11" s="100" t="n">
        <f aca="false">SUMIFS(Pre_GEM_Consumables!$J$2:$J$110,Pre_GEM_Consumables!$C$2:$C$110,A11,Pre_GEM_Consumables!$G$2:$G$110,C11,Pre_GEM_Consumables!$B$2:$B$110,"Item")+SUMIFS(Post_GEM_Consumables!$J$2:$J$97,Post_GEM_Consumables!$C$2:$C$97,A11,Post_GEM_Consumables!$G$2:$G$97,C11,Post_GEM_Consumables!$B$2:$B$97,"Item")</f>
        <v>59.4</v>
      </c>
      <c r="E11" s="108" t="n">
        <f aca="false">IF(ISNUMBER(MATCH(C11,{"tube","each","plate","vial","kit","bottle","aliquot","strainer","cap","lane-rxn","tip","strip","lane","channel","library","sample"},0)),ROUNDUP(D11,0),ROUND(D11,2))</f>
        <v>60</v>
      </c>
      <c r="F11" s="109" t="n">
        <f aca="false">SUMIFS(Pre_GEM_Consumables!$N$2:$N$110,Pre_GEM_Consumables!$C$2:$C$110,A11,Pre_GEM_Consumables!$G$2:$G$110,C11)+SUMIFS(Post_GEM_Consumables!$N$2:$N$97,Post_GEM_Consumables!$C$2:$C$97,A11,Post_GEM_Consumables!$G$2:$G$97,C11)</f>
        <v>0</v>
      </c>
    </row>
    <row r="12" customFormat="false" ht="15" hidden="false" customHeight="true" outlineLevel="0" collapsed="false">
      <c r="A12" s="96" t="s">
        <v>956</v>
      </c>
      <c r="B12" s="96"/>
      <c r="C12" s="96" t="s">
        <v>337</v>
      </c>
      <c r="D12" s="100" t="n">
        <f aca="false">SUMIFS(Pre_GEM_Consumables!$J$2:$J$110,Pre_GEM_Consumables!$C$2:$C$110,A12,Pre_GEM_Consumables!$G$2:$G$110,C12,Pre_GEM_Consumables!$B$2:$B$110,"Item")+SUMIFS(Post_GEM_Consumables!$J$2:$J$97,Post_GEM_Consumables!$C$2:$C$97,A12,Post_GEM_Consumables!$G$2:$G$97,C12,Post_GEM_Consumables!$B$2:$B$97,"Item")</f>
        <v>35.64</v>
      </c>
      <c r="E12" s="108" t="n">
        <f aca="false">IF(ISNUMBER(MATCH(C12,{"tube","each","plate","vial","kit","bottle","aliquot","strainer","cap","lane-rxn","tip","strip","lane","channel","library","sample"},0)),ROUNDUP(D12,0),ROUND(D12,2))</f>
        <v>35.64</v>
      </c>
      <c r="F12" s="109" t="n">
        <f aca="false">SUMIFS(Pre_GEM_Consumables!$N$2:$N$110,Pre_GEM_Consumables!$C$2:$C$110,A12,Pre_GEM_Consumables!$G$2:$G$110,C12)+SUMIFS(Post_GEM_Consumables!$N$2:$N$97,Post_GEM_Consumables!$C$2:$C$97,A12,Post_GEM_Consumables!$G$2:$G$97,C12)</f>
        <v>93.854376</v>
      </c>
    </row>
    <row r="13" customFormat="false" ht="15" hidden="false" customHeight="true" outlineLevel="0" collapsed="false">
      <c r="A13" s="96" t="s">
        <v>916</v>
      </c>
      <c r="B13" s="96"/>
      <c r="C13" s="96" t="s">
        <v>571</v>
      </c>
      <c r="D13" s="100" t="n">
        <f aca="false">SUMIFS(Pre_GEM_Consumables!$J$2:$J$110,Pre_GEM_Consumables!$C$2:$C$110,A13,Pre_GEM_Consumables!$G$2:$G$110,C13,Pre_GEM_Consumables!$B$2:$B$110,"Item")+SUMIFS(Post_GEM_Consumables!$J$2:$J$97,Post_GEM_Consumables!$C$2:$C$97,A13,Post_GEM_Consumables!$G$2:$G$97,C13,Post_GEM_Consumables!$B$2:$B$97,"Item")</f>
        <v>13.2</v>
      </c>
      <c r="E13" s="108" t="n">
        <f aca="false">IF(ISNUMBER(MATCH(C13,{"tube","each","plate","vial","kit","bottle","aliquot","strainer","cap","lane-rxn","tip","strip","lane","channel","library","sample"},0)),ROUNDUP(D13,0),ROUND(D13,2))</f>
        <v>14</v>
      </c>
      <c r="F13" s="109" t="n">
        <f aca="false">SUMIFS(Pre_GEM_Consumables!$N$2:$N$110,Pre_GEM_Consumables!$C$2:$C$110,A13,Pre_GEM_Consumables!$G$2:$G$110,C13)+SUMIFS(Post_GEM_Consumables!$N$2:$N$97,Post_GEM_Consumables!$C$2:$C$97,A13,Post_GEM_Consumables!$G$2:$G$97,C13)</f>
        <v>2.370192</v>
      </c>
    </row>
    <row r="14" customFormat="false" ht="15" hidden="false" customHeight="true" outlineLevel="0" collapsed="false">
      <c r="A14" s="96" t="s">
        <v>910</v>
      </c>
      <c r="B14" s="96"/>
      <c r="C14" s="96" t="s">
        <v>548</v>
      </c>
      <c r="D14" s="100" t="n">
        <f aca="false">SUMIFS(Pre_GEM_Consumables!$J$2:$J$110,Pre_GEM_Consumables!$C$2:$C$110,A14,Pre_GEM_Consumables!$G$2:$G$110,C14,Pre_GEM_Consumables!$B$2:$B$110,"Item")+SUMIFS(Post_GEM_Consumables!$J$2:$J$97,Post_GEM_Consumables!$C$2:$C$97,A14,Post_GEM_Consumables!$G$2:$G$97,C14,Post_GEM_Consumables!$B$2:$B$97,"Item")</f>
        <v>23.1</v>
      </c>
      <c r="E14" s="108" t="n">
        <f aca="false">IF(ISNUMBER(MATCH(C14,{"tube","each","plate","vial","kit","bottle","aliquot","strainer","cap","lane-rxn","tip","strip","lane","channel","library","sample"},0)),ROUNDUP(D14,0),ROUND(D14,2))</f>
        <v>24</v>
      </c>
      <c r="F14" s="109" t="n">
        <f aca="false">SUMIFS(Pre_GEM_Consumables!$N$2:$N$110,Pre_GEM_Consumables!$C$2:$C$110,A14,Pre_GEM_Consumables!$G$2:$G$110,C14)+SUMIFS(Post_GEM_Consumables!$N$2:$N$97,Post_GEM_Consumables!$C$2:$C$97,A14,Post_GEM_Consumables!$G$2:$G$97,C14)</f>
        <v>5.6364</v>
      </c>
    </row>
    <row r="15" customFormat="false" ht="15" hidden="false" customHeight="true" outlineLevel="0" collapsed="false">
      <c r="A15" s="96" t="s">
        <v>574</v>
      </c>
      <c r="B15" s="96"/>
      <c r="C15" s="96" t="s">
        <v>373</v>
      </c>
      <c r="D15" s="100" t="n">
        <f aca="false">SUMIFS(Pre_GEM_Consumables!$J$2:$J$110,Pre_GEM_Consumables!$C$2:$C$110,A15,Pre_GEM_Consumables!$G$2:$G$110,C15,Pre_GEM_Consumables!$B$2:$B$110,"Item")+SUMIFS(Post_GEM_Consumables!$J$2:$J$97,Post_GEM_Consumables!$C$2:$C$97,A15,Post_GEM_Consumables!$G$2:$G$97,C15,Post_GEM_Consumables!$B$2:$B$97,"Item")</f>
        <v>15.4</v>
      </c>
      <c r="E15" s="108" t="n">
        <f aca="false">IF(ISNUMBER(MATCH(C15,{"tube","each","plate","vial","kit","bottle","aliquot","strainer","cap","lane-rxn","tip","strip","lane","channel","library","sample"},0)),ROUNDUP(D15,0),ROUND(D15,2))</f>
        <v>16</v>
      </c>
      <c r="F15" s="109" t="n">
        <f aca="false">SUMIFS(Pre_GEM_Consumables!$N$2:$N$110,Pre_GEM_Consumables!$C$2:$C$110,A15,Pre_GEM_Consumables!$G$2:$G$110,C15)+SUMIFS(Post_GEM_Consumables!$N$2:$N$97,Post_GEM_Consumables!$C$2:$C$97,A15,Post_GEM_Consumables!$G$2:$G$97,C15)</f>
        <v>35.112</v>
      </c>
    </row>
    <row r="16" customFormat="false" ht="15" hidden="false" customHeight="true" outlineLevel="0" collapsed="false">
      <c r="A16" s="96" t="s">
        <v>917</v>
      </c>
      <c r="B16" s="96"/>
      <c r="C16" s="96" t="s">
        <v>548</v>
      </c>
      <c r="D16" s="100" t="n">
        <f aca="false">SUMIFS(Pre_GEM_Consumables!$J$2:$J$110,Pre_GEM_Consumables!$C$2:$C$110,A16,Pre_GEM_Consumables!$G$2:$G$110,C16,Pre_GEM_Consumables!$B$2:$B$110,"Item")+SUMIFS(Post_GEM_Consumables!$J$2:$J$97,Post_GEM_Consumables!$C$2:$C$97,A16,Post_GEM_Consumables!$G$2:$G$97,C16,Post_GEM_Consumables!$B$2:$B$97,"Item")</f>
        <v>19.8</v>
      </c>
      <c r="E16" s="108" t="n">
        <f aca="false">IF(ISNUMBER(MATCH(C16,{"tube","each","plate","vial","kit","bottle","aliquot","strainer","cap","lane-rxn","tip","strip","lane","channel","library","sample"},0)),ROUNDUP(D16,0),ROUND(D16,2))</f>
        <v>20</v>
      </c>
      <c r="F16" s="109" t="n">
        <f aca="false">SUMIFS(Pre_GEM_Consumables!$N$2:$N$110,Pre_GEM_Consumables!$C$2:$C$110,A16,Pre_GEM_Consumables!$G$2:$G$110,C16)+SUMIFS(Post_GEM_Consumables!$N$2:$N$97,Post_GEM_Consumables!$C$2:$C$97,A16,Post_GEM_Consumables!$G$2:$G$97,C16)</f>
        <v>0</v>
      </c>
    </row>
    <row r="17" customFormat="false" ht="15" hidden="false" customHeight="true" outlineLevel="0" collapsed="false">
      <c r="A17" s="96" t="s">
        <v>928</v>
      </c>
      <c r="B17" s="96"/>
      <c r="C17" s="96" t="s">
        <v>397</v>
      </c>
      <c r="D17" s="100" t="n">
        <f aca="false">SUMIFS(Pre_GEM_Consumables!$J$2:$J$110,Pre_GEM_Consumables!$C$2:$C$110,A17,Pre_GEM_Consumables!$G$2:$G$110,C17,Pre_GEM_Consumables!$B$2:$B$110,"Item")+SUMIFS(Post_GEM_Consumables!$J$2:$J$97,Post_GEM_Consumables!$C$2:$C$97,A17,Post_GEM_Consumables!$G$2:$G$97,C17,Post_GEM_Consumables!$B$2:$B$97,"Item")</f>
        <v>13.2</v>
      </c>
      <c r="E17" s="108" t="n">
        <f aca="false">IF(ISNUMBER(MATCH(C17,{"tube","each","plate","vial","kit","bottle","aliquot","strainer","cap","lane-rxn","tip","strip","lane","channel","library","sample"},0)),ROUNDUP(D17,0),ROUND(D17,2))</f>
        <v>13.2</v>
      </c>
      <c r="F17" s="109" t="n">
        <f aca="false">SUMIFS(Pre_GEM_Consumables!$N$2:$N$110,Pre_GEM_Consumables!$C$2:$C$110,A17,Pre_GEM_Consumables!$G$2:$G$110,C17)+SUMIFS(Post_GEM_Consumables!$N$2:$N$97,Post_GEM_Consumables!$C$2:$C$97,A17,Post_GEM_Consumables!$G$2:$G$97,C17)</f>
        <v>341.22</v>
      </c>
    </row>
    <row r="18" customFormat="false" ht="15" hidden="false" customHeight="true" outlineLevel="0" collapsed="false">
      <c r="A18" s="96" t="s">
        <v>918</v>
      </c>
      <c r="B18" s="96"/>
      <c r="C18" s="96" t="s">
        <v>397</v>
      </c>
      <c r="D18" s="100" t="n">
        <f aca="false">SUMIFS(Pre_GEM_Consumables!$J$2:$J$110,Pre_GEM_Consumables!$C$2:$C$110,A18,Pre_GEM_Consumables!$G$2:$G$110,C18,Pre_GEM_Consumables!$B$2:$B$110,"Item")+SUMIFS(Post_GEM_Consumables!$J$2:$J$97,Post_GEM_Consumables!$C$2:$C$97,A18,Post_GEM_Consumables!$G$2:$G$97,C18,Post_GEM_Consumables!$B$2:$B$97,"Item")</f>
        <v>13.2</v>
      </c>
      <c r="E18" s="108" t="n">
        <f aca="false">IF(ISNUMBER(MATCH(C18,{"tube","each","plate","vial","kit","bottle","aliquot","strainer","cap","lane-rxn","tip","strip","lane","channel","library","sample"},0)),ROUNDUP(D18,0),ROUND(D18,2))</f>
        <v>13.2</v>
      </c>
      <c r="F18" s="109" t="n">
        <f aca="false">SUMIFS(Pre_GEM_Consumables!$N$2:$N$110,Pre_GEM_Consumables!$C$2:$C$110,A18,Pre_GEM_Consumables!$G$2:$G$110,C18)+SUMIFS(Post_GEM_Consumables!$N$2:$N$97,Post_GEM_Consumables!$C$2:$C$97,A18,Post_GEM_Consumables!$G$2:$G$97,C18)</f>
        <v>341.22</v>
      </c>
    </row>
    <row r="19" customFormat="false" ht="15" hidden="false" customHeight="true" outlineLevel="0" collapsed="false">
      <c r="A19" s="96" t="s">
        <v>601</v>
      </c>
      <c r="B19" s="96"/>
      <c r="C19" s="96" t="s">
        <v>397</v>
      </c>
      <c r="D19" s="100" t="n">
        <f aca="false">SUMIFS(Pre_GEM_Consumables!$J$2:$J$110,Pre_GEM_Consumables!$C$2:$C$110,A19,Pre_GEM_Consumables!$G$2:$G$110,C19,Pre_GEM_Consumables!$B$2:$B$110,"Item")+SUMIFS(Post_GEM_Consumables!$J$2:$J$97,Post_GEM_Consumables!$C$2:$C$97,A19,Post_GEM_Consumables!$G$2:$G$97,C19,Post_GEM_Consumables!$B$2:$B$97,"Item")</f>
        <v>405.9</v>
      </c>
      <c r="E19" s="108" t="n">
        <f aca="false">IF(ISNUMBER(MATCH(C19,{"tube","each","plate","vial","kit","bottle","aliquot","strainer","cap","lane-rxn","tip","strip","lane","channel","library","sample"},0)),ROUNDUP(D19,0),ROUND(D19,2))</f>
        <v>405.9</v>
      </c>
      <c r="F19" s="109" t="n">
        <f aca="false">SUMIFS(Pre_GEM_Consumables!$N$2:$N$110,Pre_GEM_Consumables!$C$2:$C$110,A19,Pre_GEM_Consumables!$G$2:$G$110,C19)+SUMIFS(Post_GEM_Consumables!$N$2:$N$97,Post_GEM_Consumables!$C$2:$C$97,A19,Post_GEM_Consumables!$G$2:$G$97,C19)</f>
        <v>0</v>
      </c>
    </row>
    <row r="20" customFormat="false" ht="15" hidden="false" customHeight="true" outlineLevel="0" collapsed="false">
      <c r="A20" s="96" t="s">
        <v>919</v>
      </c>
      <c r="B20" s="96"/>
      <c r="C20" s="96" t="s">
        <v>397</v>
      </c>
      <c r="D20" s="100" t="n">
        <f aca="false">SUMIFS(Pre_GEM_Consumables!$J$2:$J$110,Pre_GEM_Consumables!$C$2:$C$110,A20,Pre_GEM_Consumables!$G$2:$G$110,C20,Pre_GEM_Consumables!$B$2:$B$110,"Item")+SUMIFS(Post_GEM_Consumables!$J$2:$J$97,Post_GEM_Consumables!$C$2:$C$97,A20,Post_GEM_Consumables!$G$2:$G$97,C20,Post_GEM_Consumables!$B$2:$B$97,"Item")</f>
        <v>198</v>
      </c>
      <c r="E20" s="108" t="n">
        <f aca="false">IF(ISNUMBER(MATCH(C20,{"tube","each","plate","vial","kit","bottle","aliquot","strainer","cap","lane-rxn","tip","strip","lane","channel","library","sample"},0)),ROUNDUP(D20,0),ROUND(D20,2))</f>
        <v>198</v>
      </c>
      <c r="F20" s="109" t="n">
        <f aca="false">SUMIFS(Pre_GEM_Consumables!$N$2:$N$110,Pre_GEM_Consumables!$C$2:$C$110,A20,Pre_GEM_Consumables!$G$2:$G$110,C20)+SUMIFS(Post_GEM_Consumables!$N$2:$N$97,Post_GEM_Consumables!$C$2:$C$97,A20,Post_GEM_Consumables!$G$2:$G$97,C20)</f>
        <v>45.342</v>
      </c>
    </row>
    <row r="21" customFormat="false" ht="15" hidden="false" customHeight="true" outlineLevel="0" collapsed="false">
      <c r="A21" s="96" t="s">
        <v>1034</v>
      </c>
      <c r="B21" s="96"/>
      <c r="C21" s="96" t="s">
        <v>1035</v>
      </c>
      <c r="D21" s="100" t="n">
        <f aca="false">SUMIFS(Pre_GEM_Consumables!$J$2:$J$110,Pre_GEM_Consumables!$C$2:$C$110,A21,Pre_GEM_Consumables!$G$2:$G$110,C21,Pre_GEM_Consumables!$B$2:$B$110,"Item")+SUMIFS(Post_GEM_Consumables!$J$2:$J$97,Post_GEM_Consumables!$C$2:$C$97,A21,Post_GEM_Consumables!$G$2:$G$97,C21,Post_GEM_Consumables!$B$2:$B$97,"Item")</f>
        <v>0</v>
      </c>
      <c r="E21" s="108" t="n">
        <f aca="false">IF(ISNUMBER(MATCH(C21,{"tube","each","plate","vial","kit","bottle","aliquot","strainer","cap","lane-rxn","tip","strip","lane","channel","library","sample"},0)),ROUNDUP(D21,0),ROUND(D21,2))</f>
        <v>0</v>
      </c>
      <c r="F21" s="109" t="n">
        <f aca="false">SUMIFS(Pre_GEM_Consumables!$N$2:$N$110,Pre_GEM_Consumables!$C$2:$C$110,A21,Pre_GEM_Consumables!$G$2:$G$110,C21)+SUMIFS(Post_GEM_Consumables!$N$2:$N$97,Post_GEM_Consumables!$C$2:$C$97,A21,Post_GEM_Consumables!$G$2:$G$97,C21)</f>
        <v>0</v>
      </c>
    </row>
    <row r="22" customFormat="false" ht="15" hidden="false" customHeight="true" outlineLevel="0" collapsed="false">
      <c r="A22" s="96" t="s">
        <v>502</v>
      </c>
      <c r="B22" s="96"/>
      <c r="C22" s="96" t="s">
        <v>337</v>
      </c>
      <c r="D22" s="100" t="n">
        <f aca="false">SUMIFS(Pre_GEM_Consumables!$J$2:$J$110,Pre_GEM_Consumables!$C$2:$C$110,A22,Pre_GEM_Consumables!$G$2:$G$110,C22,Pre_GEM_Consumables!$B$2:$B$110,"Item")+SUMIFS(Post_GEM_Consumables!$J$2:$J$97,Post_GEM_Consumables!$C$2:$C$97,A22,Post_GEM_Consumables!$G$2:$G$97,C22,Post_GEM_Consumables!$B$2:$B$97,"Item")</f>
        <v>16.5</v>
      </c>
      <c r="E22" s="108" t="n">
        <f aca="false">IF(ISNUMBER(MATCH(C22,{"tube","each","plate","vial","kit","bottle","aliquot","strainer","cap","lane-rxn","tip","strip","lane","channel","library","sample"},0)),ROUNDUP(D22,0),ROUND(D22,2))</f>
        <v>16.5</v>
      </c>
      <c r="F22" s="109" t="n">
        <f aca="false">SUMIFS(Pre_GEM_Consumables!$N$2:$N$110,Pre_GEM_Consumables!$C$2:$C$110,A22,Pre_GEM_Consumables!$G$2:$G$110,C22)+SUMIFS(Post_GEM_Consumables!$N$2:$N$97,Post_GEM_Consumables!$C$2:$C$97,A22,Post_GEM_Consumables!$G$2:$G$97,C22)</f>
        <v>11.77143</v>
      </c>
    </row>
    <row r="23" customFormat="false" ht="15" hidden="false" customHeight="true" outlineLevel="0" collapsed="false">
      <c r="A23" s="96" t="s">
        <v>921</v>
      </c>
      <c r="B23" s="96"/>
      <c r="C23" s="96" t="s">
        <v>337</v>
      </c>
      <c r="D23" s="100" t="n">
        <f aca="false">SUMIFS(Pre_GEM_Consumables!$J$2:$J$110,Pre_GEM_Consumables!$C$2:$C$110,A23,Pre_GEM_Consumables!$G$2:$G$110,C23,Pre_GEM_Consumables!$B$2:$B$110,"Item")+SUMIFS(Post_GEM_Consumables!$J$2:$J$97,Post_GEM_Consumables!$C$2:$C$97,A23,Post_GEM_Consumables!$G$2:$G$97,C23,Post_GEM_Consumables!$B$2:$B$97,"Item")</f>
        <v>312.895</v>
      </c>
      <c r="E23" s="108" t="n">
        <f aca="false">IF(ISNUMBER(MATCH(C23,{"tube","each","plate","vial","kit","bottle","aliquot","strainer","cap","lane-rxn","tip","strip","lane","channel","library","sample"},0)),ROUNDUP(D23,0),ROUND(D23,2))</f>
        <v>312.9</v>
      </c>
      <c r="F23" s="109" t="n">
        <f aca="false">SUMIFS(Pre_GEM_Consumables!$N$2:$N$110,Pre_GEM_Consumables!$C$2:$C$110,A23,Pre_GEM_Consumables!$G$2:$G$110,C23)+SUMIFS(Post_GEM_Consumables!$N$2:$N$97,Post_GEM_Consumables!$C$2:$C$97,A23,Post_GEM_Consumables!$G$2:$G$97,C23)</f>
        <v>11.9025258</v>
      </c>
    </row>
    <row r="24" customFormat="false" ht="15" hidden="false" customHeight="true" outlineLevel="0" collapsed="false">
      <c r="A24" s="96" t="s">
        <v>931</v>
      </c>
      <c r="B24" s="96"/>
      <c r="C24" s="96" t="s">
        <v>397</v>
      </c>
      <c r="D24" s="100" t="n">
        <f aca="false">SUMIFS(Pre_GEM_Consumables!$J$2:$J$110,Pre_GEM_Consumables!$C$2:$C$110,A24,Pre_GEM_Consumables!$G$2:$G$110,C24,Pre_GEM_Consumables!$B$2:$B$110,"Item")+SUMIFS(Post_GEM_Consumables!$J$2:$J$97,Post_GEM_Consumables!$C$2:$C$97,A24,Post_GEM_Consumables!$G$2:$G$97,C24,Post_GEM_Consumables!$B$2:$B$97,"Item")</f>
        <v>33</v>
      </c>
      <c r="E24" s="108" t="n">
        <f aca="false">IF(ISNUMBER(MATCH(C24,{"tube","each","plate","vial","kit","bottle","aliquot","strainer","cap","lane-rxn","tip","strip","lane","channel","library","sample"},0)),ROUNDUP(D24,0),ROUND(D24,2))</f>
        <v>33</v>
      </c>
      <c r="F24" s="109" t="n">
        <f aca="false">SUMIFS(Pre_GEM_Consumables!$N$2:$N$110,Pre_GEM_Consumables!$C$2:$C$110,A24,Pre_GEM_Consumables!$G$2:$G$110,C24)+SUMIFS(Post_GEM_Consumables!$N$2:$N$97,Post_GEM_Consumables!$C$2:$C$97,A24,Post_GEM_Consumables!$G$2:$G$97,C24)</f>
        <v>1.551</v>
      </c>
    </row>
    <row r="25" customFormat="false" ht="15" hidden="false" customHeight="true" outlineLevel="0" collapsed="false">
      <c r="A25" s="96" t="s">
        <v>401</v>
      </c>
      <c r="B25" s="96"/>
      <c r="C25" s="96" t="s">
        <v>397</v>
      </c>
      <c r="D25" s="100" t="n">
        <f aca="false">SUMIFS(Pre_GEM_Consumables!$J$2:$J$110,Pre_GEM_Consumables!$C$2:$C$110,A25,Pre_GEM_Consumables!$G$2:$G$110,C25,Pre_GEM_Consumables!$B$2:$B$110,"Item")+SUMIFS(Post_GEM_Consumables!$J$2:$J$97,Post_GEM_Consumables!$C$2:$C$97,A25,Post_GEM_Consumables!$G$2:$G$97,C25,Post_GEM_Consumables!$B$2:$B$97,"Item")</f>
        <v>35.2</v>
      </c>
      <c r="E25" s="108" t="n">
        <f aca="false">IF(ISNUMBER(MATCH(C25,{"tube","each","plate","vial","kit","bottle","aliquot","strainer","cap","lane-rxn","tip","strip","lane","channel","library","sample"},0)),ROUNDUP(D25,0),ROUND(D25,2))</f>
        <v>35.2</v>
      </c>
      <c r="F25" s="109" t="n">
        <f aca="false">SUMIFS(Pre_GEM_Consumables!$N$2:$N$110,Pre_GEM_Consumables!$C$2:$C$110,A25,Pre_GEM_Consumables!$G$2:$G$110,C25)+SUMIFS(Post_GEM_Consumables!$N$2:$N$97,Post_GEM_Consumables!$C$2:$C$97,A25,Post_GEM_Consumables!$G$2:$G$97,C25)</f>
        <v>0</v>
      </c>
    </row>
    <row r="26" customFormat="false" ht="15" hidden="false" customHeight="true" outlineLevel="0" collapsed="false">
      <c r="A26" s="96" t="s">
        <v>932</v>
      </c>
      <c r="B26" s="96"/>
      <c r="C26" s="96" t="s">
        <v>397</v>
      </c>
      <c r="D26" s="100" t="n">
        <f aca="false">SUMIFS(Pre_GEM_Consumables!$J$2:$J$110,Pre_GEM_Consumables!$C$2:$C$110,A26,Pre_GEM_Consumables!$G$2:$G$110,C26,Pre_GEM_Consumables!$B$2:$B$110,"Item")+SUMIFS(Post_GEM_Consumables!$J$2:$J$97,Post_GEM_Consumables!$C$2:$C$97,A26,Post_GEM_Consumables!$G$2:$G$97,C26,Post_GEM_Consumables!$B$2:$B$97,"Item")</f>
        <v>12.1</v>
      </c>
      <c r="E26" s="108" t="n">
        <f aca="false">IF(ISNUMBER(MATCH(C26,{"tube","each","plate","vial","kit","bottle","aliquot","strainer","cap","lane-rxn","tip","strip","lane","channel","library","sample"},0)),ROUNDUP(D26,0),ROUND(D26,2))</f>
        <v>12.1</v>
      </c>
      <c r="F26" s="109" t="n">
        <f aca="false">SUMIFS(Pre_GEM_Consumables!$N$2:$N$110,Pre_GEM_Consumables!$C$2:$C$110,A26,Pre_GEM_Consumables!$G$2:$G$110,C26)+SUMIFS(Post_GEM_Consumables!$N$2:$N$97,Post_GEM_Consumables!$C$2:$C$97,A26,Post_GEM_Consumables!$G$2:$G$97,C26)</f>
        <v>0.0021296</v>
      </c>
    </row>
    <row r="27" customFormat="false" ht="15" hidden="false" customHeight="true" outlineLevel="0" collapsed="false">
      <c r="A27" s="96" t="s">
        <v>445</v>
      </c>
      <c r="B27" s="96"/>
      <c r="C27" s="96" t="s">
        <v>397</v>
      </c>
      <c r="D27" s="100" t="n">
        <f aca="false">SUMIFS(Pre_GEM_Consumables!$J$2:$J$110,Pre_GEM_Consumables!$C$2:$C$110,A27,Pre_GEM_Consumables!$G$2:$G$110,C27,Pre_GEM_Consumables!$B$2:$B$110,"Item")+SUMIFS(Post_GEM_Consumables!$J$2:$J$97,Post_GEM_Consumables!$C$2:$C$97,A27,Post_GEM_Consumables!$G$2:$G$97,C27,Post_GEM_Consumables!$B$2:$B$97,"Item")</f>
        <v>2.42</v>
      </c>
      <c r="E27" s="108" t="n">
        <f aca="false">IF(ISNUMBER(MATCH(C27,{"tube","each","plate","vial","kit","bottle","aliquot","strainer","cap","lane-rxn","tip","strip","lane","channel","library","sample"},0)),ROUNDUP(D27,0),ROUND(D27,2))</f>
        <v>2.42</v>
      </c>
      <c r="F27" s="109" t="n">
        <f aca="false">SUMIFS(Pre_GEM_Consumables!$N$2:$N$110,Pre_GEM_Consumables!$C$2:$C$110,A27,Pre_GEM_Consumables!$G$2:$G$110,C27)+SUMIFS(Post_GEM_Consumables!$N$2:$N$97,Post_GEM_Consumables!$C$2:$C$97,A27,Post_GEM_Consumables!$G$2:$G$97,C27)</f>
        <v>3.5211E-005</v>
      </c>
    </row>
    <row r="28" customFormat="false" ht="15" hidden="false" customHeight="true" outlineLevel="0" collapsed="false">
      <c r="A28" s="96" t="s">
        <v>451</v>
      </c>
      <c r="B28" s="96"/>
      <c r="C28" s="96" t="s">
        <v>397</v>
      </c>
      <c r="D28" s="100" t="n">
        <f aca="false">SUMIFS(Pre_GEM_Consumables!$J$2:$J$110,Pre_GEM_Consumables!$C$2:$C$110,A28,Pre_GEM_Consumables!$G$2:$G$110,C28,Pre_GEM_Consumables!$B$2:$B$110,"Item")+SUMIFS(Post_GEM_Consumables!$J$2:$J$97,Post_GEM_Consumables!$C$2:$C$97,A28,Post_GEM_Consumables!$G$2:$G$97,C28,Post_GEM_Consumables!$B$2:$B$97,"Item")</f>
        <v>3.63</v>
      </c>
      <c r="E28" s="108" t="n">
        <f aca="false">IF(ISNUMBER(MATCH(C28,{"tube","each","plate","vial","kit","bottle","aliquot","strainer","cap","lane-rxn","tip","strip","lane","channel","library","sample"},0)),ROUNDUP(D28,0),ROUND(D28,2))</f>
        <v>3.63</v>
      </c>
      <c r="F28" s="109" t="n">
        <f aca="false">SUMIFS(Pre_GEM_Consumables!$N$2:$N$110,Pre_GEM_Consumables!$C$2:$C$110,A28,Pre_GEM_Consumables!$G$2:$G$110,C28)+SUMIFS(Post_GEM_Consumables!$N$2:$N$97,Post_GEM_Consumables!$C$2:$C$97,A28,Post_GEM_Consumables!$G$2:$G$97,C28)</f>
        <v>0.0020691</v>
      </c>
    </row>
    <row r="29" customFormat="false" ht="15" hidden="false" customHeight="true" outlineLevel="0" collapsed="false">
      <c r="A29" s="96" t="s">
        <v>933</v>
      </c>
      <c r="B29" s="96"/>
      <c r="C29" s="96" t="s">
        <v>397</v>
      </c>
      <c r="D29" s="100" t="n">
        <f aca="false">SUMIFS(Pre_GEM_Consumables!$J$2:$J$110,Pre_GEM_Consumables!$C$2:$C$110,A29,Pre_GEM_Consumables!$G$2:$G$110,C29,Pre_GEM_Consumables!$B$2:$B$110,"Item")+SUMIFS(Post_GEM_Consumables!$J$2:$J$97,Post_GEM_Consumables!$C$2:$C$97,A29,Post_GEM_Consumables!$G$2:$G$97,C29,Post_GEM_Consumables!$B$2:$B$97,"Item")</f>
        <v>1.1</v>
      </c>
      <c r="E29" s="108" t="n">
        <f aca="false">IF(ISNUMBER(MATCH(C29,{"tube","each","plate","vial","kit","bottle","aliquot","strainer","cap","lane-rxn","tip","strip","lane","channel","library","sample"},0)),ROUNDUP(D29,0),ROUND(D29,2))</f>
        <v>1.1</v>
      </c>
      <c r="F29" s="109" t="n">
        <f aca="false">SUMIFS(Pre_GEM_Consumables!$N$2:$N$110,Pre_GEM_Consumables!$C$2:$C$110,A29,Pre_GEM_Consumables!$G$2:$G$110,C29)+SUMIFS(Post_GEM_Consumables!$N$2:$N$97,Post_GEM_Consumables!$C$2:$C$97,A29,Post_GEM_Consumables!$G$2:$G$97,C29)</f>
        <v>0.0002332</v>
      </c>
    </row>
    <row r="30" customFormat="false" ht="15" hidden="false" customHeight="true" outlineLevel="0" collapsed="false">
      <c r="A30" s="96" t="s">
        <v>461</v>
      </c>
      <c r="B30" s="96"/>
      <c r="C30" s="96" t="s">
        <v>397</v>
      </c>
      <c r="D30" s="100" t="n">
        <f aca="false">SUMIFS(Pre_GEM_Consumables!$J$2:$J$110,Pre_GEM_Consumables!$C$2:$C$110,A30,Pre_GEM_Consumables!$G$2:$G$110,C30,Pre_GEM_Consumables!$B$2:$B$110,"Item")+SUMIFS(Post_GEM_Consumables!$J$2:$J$97,Post_GEM_Consumables!$C$2:$C$97,A30,Post_GEM_Consumables!$G$2:$G$97,C30,Post_GEM_Consumables!$B$2:$B$97,"Item")</f>
        <v>0.22</v>
      </c>
      <c r="E30" s="108" t="n">
        <f aca="false">IF(ISNUMBER(MATCH(C30,{"tube","each","plate","vial","kit","bottle","aliquot","strainer","cap","lane-rxn","tip","strip","lane","channel","library","sample"},0)),ROUNDUP(D30,0),ROUND(D30,2))</f>
        <v>0.22</v>
      </c>
      <c r="F30" s="109" t="n">
        <f aca="false">SUMIFS(Pre_GEM_Consumables!$N$2:$N$110,Pre_GEM_Consumables!$C$2:$C$110,A30,Pre_GEM_Consumables!$G$2:$G$110,C30)+SUMIFS(Post_GEM_Consumables!$N$2:$N$97,Post_GEM_Consumables!$C$2:$C$97,A30,Post_GEM_Consumables!$G$2:$G$97,C30)</f>
        <v>0.027423</v>
      </c>
    </row>
    <row r="31" customFormat="false" ht="15" hidden="false" customHeight="true" outlineLevel="0" collapsed="false">
      <c r="A31" s="96" t="s">
        <v>382</v>
      </c>
      <c r="B31" s="96"/>
      <c r="C31" s="96" t="s">
        <v>397</v>
      </c>
      <c r="D31" s="100" t="n">
        <f aca="false">SUMIFS(Pre_GEM_Consumables!$J$2:$J$110,Pre_GEM_Consumables!$C$2:$C$110,A31,Pre_GEM_Consumables!$G$2:$G$110,C31,Pre_GEM_Consumables!$B$2:$B$110,"Item")+SUMIFS(Post_GEM_Consumables!$J$2:$J$97,Post_GEM_Consumables!$C$2:$C$97,A31,Post_GEM_Consumables!$G$2:$G$97,C31,Post_GEM_Consumables!$B$2:$B$97,"Item")</f>
        <v>1.1</v>
      </c>
      <c r="E31" s="108" t="n">
        <f aca="false">IF(ISNUMBER(MATCH(C31,{"tube","each","plate","vial","kit","bottle","aliquot","strainer","cap","lane-rxn","tip","strip","lane","channel","library","sample"},0)),ROUNDUP(D31,0),ROUND(D31,2))</f>
        <v>1.1</v>
      </c>
      <c r="F31" s="109" t="n">
        <f aca="false">SUMIFS(Pre_GEM_Consumables!$N$2:$N$110,Pre_GEM_Consumables!$C$2:$C$110,A31,Pre_GEM_Consumables!$G$2:$G$110,C31)+SUMIFS(Post_GEM_Consumables!$N$2:$N$97,Post_GEM_Consumables!$C$2:$C$97,A31,Post_GEM_Consumables!$G$2:$G$97,C31)</f>
        <v>0.0089144</v>
      </c>
    </row>
    <row r="32" customFormat="false" ht="15" hidden="false" customHeight="true" outlineLevel="0" collapsed="false">
      <c r="A32" s="96" t="s">
        <v>411</v>
      </c>
      <c r="B32" s="96"/>
      <c r="C32" s="96" t="s">
        <v>397</v>
      </c>
      <c r="D32" s="100" t="n">
        <f aca="false">SUMIFS(Pre_GEM_Consumables!$J$2:$J$110,Pre_GEM_Consumables!$C$2:$C$110,A32,Pre_GEM_Consumables!$G$2:$G$110,C32,Pre_GEM_Consumables!$B$2:$B$110,"Item")+SUMIFS(Post_GEM_Consumables!$J$2:$J$97,Post_GEM_Consumables!$C$2:$C$97,A32,Post_GEM_Consumables!$G$2:$G$97,C32,Post_GEM_Consumables!$B$2:$B$97,"Item")</f>
        <v>0.55</v>
      </c>
      <c r="E32" s="108" t="n">
        <f aca="false">IF(ISNUMBER(MATCH(C32,{"tube","each","plate","vial","kit","bottle","aliquot","strainer","cap","lane-rxn","tip","strip","lane","channel","library","sample"},0)),ROUNDUP(D32,0),ROUND(D32,2))</f>
        <v>0.55</v>
      </c>
      <c r="F32" s="109" t="n">
        <f aca="false">SUMIFS(Pre_GEM_Consumables!$N$2:$N$110,Pre_GEM_Consumables!$C$2:$C$110,A32,Pre_GEM_Consumables!$G$2:$G$110,C32)+SUMIFS(Post_GEM_Consumables!$N$2:$N$97,Post_GEM_Consumables!$C$2:$C$97,A32,Post_GEM_Consumables!$G$2:$G$97,C32)</f>
        <v>0</v>
      </c>
    </row>
    <row r="33" customFormat="false" ht="15" hidden="false" customHeight="true" outlineLevel="0" collapsed="false">
      <c r="A33" s="96" t="s">
        <v>935</v>
      </c>
      <c r="B33" s="96"/>
      <c r="C33" s="96" t="s">
        <v>418</v>
      </c>
      <c r="D33" s="100" t="n">
        <f aca="false">SUMIFS(Pre_GEM_Consumables!$J$2:$J$110,Pre_GEM_Consumables!$C$2:$C$110,A33,Pre_GEM_Consumables!$G$2:$G$110,C33,Pre_GEM_Consumables!$B$2:$B$110,"Item")+SUMIFS(Post_GEM_Consumables!$J$2:$J$97,Post_GEM_Consumables!$C$2:$C$97,A33,Post_GEM_Consumables!$G$2:$G$97,C33,Post_GEM_Consumables!$B$2:$B$97,"Item")</f>
        <v>3.3</v>
      </c>
      <c r="E33" s="108" t="n">
        <f aca="false">IF(ISNUMBER(MATCH(C33,{"tube","each","plate","vial","kit","bottle","aliquot","strainer","cap","lane-rxn","tip","strip","lane","channel","library","sample"},0)),ROUNDUP(D33,0),ROUND(D33,2))</f>
        <v>4</v>
      </c>
      <c r="F33" s="109" t="n">
        <f aca="false">SUMIFS(Pre_GEM_Consumables!$N$2:$N$110,Pre_GEM_Consumables!$C$2:$C$110,A33,Pre_GEM_Consumables!$G$2:$G$110,C33)+SUMIFS(Post_GEM_Consumables!$N$2:$N$97,Post_GEM_Consumables!$C$2:$C$97,A33,Post_GEM_Consumables!$G$2:$G$97,C33)</f>
        <v>3000.69</v>
      </c>
    </row>
    <row r="34" customFormat="false" ht="15" hidden="false" customHeight="true" outlineLevel="0" collapsed="false">
      <c r="A34" s="96" t="s">
        <v>922</v>
      </c>
      <c r="B34" s="96"/>
      <c r="C34" s="96" t="s">
        <v>418</v>
      </c>
      <c r="D34" s="100" t="n">
        <f aca="false">SUMIFS(Pre_GEM_Consumables!$J$2:$J$110,Pre_GEM_Consumables!$C$2:$C$110,A34,Pre_GEM_Consumables!$G$2:$G$110,C34,Pre_GEM_Consumables!$B$2:$B$110,"Item")+SUMIFS(Post_GEM_Consumables!$J$2:$J$97,Post_GEM_Consumables!$C$2:$C$97,A34,Post_GEM_Consumables!$G$2:$G$97,C34,Post_GEM_Consumables!$B$2:$B$97,"Item")</f>
        <v>3.3</v>
      </c>
      <c r="E34" s="108" t="n">
        <f aca="false">IF(ISNUMBER(MATCH(C34,{"tube","each","plate","vial","kit","bottle","aliquot","strainer","cap","lane-rxn","tip","strip","lane","channel","library","sample"},0)),ROUNDUP(D34,0),ROUND(D34,2))</f>
        <v>4</v>
      </c>
      <c r="F34" s="109" t="n">
        <f aca="false">SUMIFS(Pre_GEM_Consumables!$N$2:$N$110,Pre_GEM_Consumables!$C$2:$C$110,A34,Pre_GEM_Consumables!$G$2:$G$110,C34)+SUMIFS(Post_GEM_Consumables!$N$2:$N$97,Post_GEM_Consumables!$C$2:$C$97,A34,Post_GEM_Consumables!$G$2:$G$97,C34)</f>
        <v>3000.69</v>
      </c>
    </row>
    <row r="35" customFormat="false" ht="15" hidden="false" customHeight="true" outlineLevel="0" collapsed="false">
      <c r="A35" s="96" t="s">
        <v>335</v>
      </c>
      <c r="B35" s="96"/>
      <c r="C35" s="96" t="s">
        <v>337</v>
      </c>
      <c r="D35" s="100" t="n">
        <f aca="false">SUMIFS(Pre_GEM_Consumables!$J$2:$J$110,Pre_GEM_Consumables!$C$2:$C$110,A35,Pre_GEM_Consumables!$G$2:$G$110,C35,Pre_GEM_Consumables!$B$2:$B$110,"Item")+SUMIFS(Post_GEM_Consumables!$J$2:$J$97,Post_GEM_Consumables!$C$2:$C$97,A35,Post_GEM_Consumables!$G$2:$G$97,C35,Post_GEM_Consumables!$B$2:$B$97,"Item")</f>
        <v>1.111</v>
      </c>
      <c r="E35" s="108" t="n">
        <f aca="false">IF(ISNUMBER(MATCH(C35,{"tube","each","plate","vial","kit","bottle","aliquot","strainer","cap","lane-rxn","tip","strip","lane","channel","library","sample"},0)),ROUNDUP(D35,0),ROUND(D35,2))</f>
        <v>1.11</v>
      </c>
      <c r="F35" s="109" t="n">
        <f aca="false">SUMIFS(Pre_GEM_Consumables!$N$2:$N$110,Pre_GEM_Consumables!$C$2:$C$110,A35,Pre_GEM_Consumables!$G$2:$G$110,C35)+SUMIFS(Post_GEM_Consumables!$N$2:$N$97,Post_GEM_Consumables!$C$2:$C$97,A35,Post_GEM_Consumables!$G$2:$G$97,C35)</f>
        <v>0.03079692</v>
      </c>
    </row>
    <row r="36" customFormat="false" ht="15" hidden="false" customHeight="true" outlineLevel="0" collapsed="false">
      <c r="A36" s="96" t="s">
        <v>1036</v>
      </c>
      <c r="B36" s="96"/>
      <c r="C36" s="96" t="s">
        <v>1035</v>
      </c>
      <c r="D36" s="100" t="n">
        <f aca="false">SUMIFS(Pre_GEM_Consumables!$J$2:$J$110,Pre_GEM_Consumables!$C$2:$C$110,A36,Pre_GEM_Consumables!$G$2:$G$110,C36,Pre_GEM_Consumables!$B$2:$B$110,"Item")+SUMIFS(Post_GEM_Consumables!$J$2:$J$97,Post_GEM_Consumables!$C$2:$C$97,A36,Post_GEM_Consumables!$G$2:$G$97,C36,Post_GEM_Consumables!$B$2:$B$97,"Item")</f>
        <v>0</v>
      </c>
      <c r="E36" s="108" t="n">
        <f aca="false">IF(ISNUMBER(MATCH(C36,{"tube","each","plate","vial","kit","bottle","aliquot","strainer","cap","lane-rxn","tip","strip","lane","channel","library","sample"},0)),ROUNDUP(D36,0),ROUND(D36,2))</f>
        <v>0</v>
      </c>
      <c r="F36" s="109" t="n">
        <f aca="false">SUMIFS(Pre_GEM_Consumables!$N$2:$N$110,Pre_GEM_Consumables!$C$2:$C$110,A36,Pre_GEM_Consumables!$G$2:$G$110,C36)+SUMIFS(Post_GEM_Consumables!$N$2:$N$97,Post_GEM_Consumables!$C$2:$C$97,A36,Post_GEM_Consumables!$G$2:$G$97,C36)</f>
        <v>0</v>
      </c>
    </row>
    <row r="37" customFormat="false" ht="15" hidden="false" customHeight="true" outlineLevel="0" collapsed="false">
      <c r="A37" s="96" t="s">
        <v>916</v>
      </c>
      <c r="B37" s="96"/>
      <c r="C37" s="96" t="s">
        <v>548</v>
      </c>
      <c r="D37" s="100" t="n">
        <f aca="false">SUMIFS(Pre_GEM_Consumables!$J$2:$J$110,Pre_GEM_Consumables!$C$2:$C$110,A37,Pre_GEM_Consumables!$G$2:$G$110,C37,Pre_GEM_Consumables!$B$2:$B$110,"Item")+SUMIFS(Post_GEM_Consumables!$J$2:$J$97,Post_GEM_Consumables!$C$2:$C$97,A37,Post_GEM_Consumables!$G$2:$G$97,C37,Post_GEM_Consumables!$B$2:$B$97,"Item")</f>
        <v>2.2</v>
      </c>
      <c r="E37" s="108" t="n">
        <f aca="false">IF(ISNUMBER(MATCH(C37,{"tube","each","plate","vial","kit","bottle","aliquot","strainer","cap","lane-rxn","tip","strip","lane","channel","library","sample"},0)),ROUNDUP(D37,0),ROUND(D37,2))</f>
        <v>3</v>
      </c>
      <c r="F37" s="109" t="n">
        <f aca="false">SUMIFS(Pre_GEM_Consumables!$N$2:$N$110,Pre_GEM_Consumables!$C$2:$C$110,A37,Pre_GEM_Consumables!$G$2:$G$110,C37)+SUMIFS(Post_GEM_Consumables!$N$2:$N$97,Post_GEM_Consumables!$C$2:$C$97,A37,Post_GEM_Consumables!$G$2:$G$97,C37)</f>
        <v>0.395032</v>
      </c>
    </row>
    <row r="38" customFormat="false" ht="15" hidden="false" customHeight="true" outlineLevel="0" collapsed="false">
      <c r="A38" s="96" t="s">
        <v>937</v>
      </c>
      <c r="B38" s="96"/>
      <c r="C38" s="96" t="s">
        <v>562</v>
      </c>
      <c r="D38" s="100" t="n">
        <f aca="false">SUMIFS(Pre_GEM_Consumables!$J$2:$J$110,Pre_GEM_Consumables!$C$2:$C$110,A38,Pre_GEM_Consumables!$G$2:$G$110,C38,Pre_GEM_Consumables!$B$2:$B$110,"Item")+SUMIFS(Post_GEM_Consumables!$J$2:$J$97,Post_GEM_Consumables!$C$2:$C$97,A38,Post_GEM_Consumables!$G$2:$G$97,C38,Post_GEM_Consumables!$B$2:$B$97,"Item")</f>
        <v>0.1375</v>
      </c>
      <c r="E38" s="108" t="n">
        <f aca="false">IF(ISNUMBER(MATCH(C38,{"tube","each","plate","vial","kit","bottle","aliquot","strainer","cap","lane-rxn","tip","strip","lane","channel","library","sample"},0)),ROUNDUP(D38,0),ROUND(D38,2))</f>
        <v>1</v>
      </c>
      <c r="F38" s="109" t="n">
        <f aca="false">SUMIFS(Pre_GEM_Consumables!$N$2:$N$110,Pre_GEM_Consumables!$C$2:$C$110,A38,Pre_GEM_Consumables!$G$2:$G$110,C38)+SUMIFS(Post_GEM_Consumables!$N$2:$N$97,Post_GEM_Consumables!$C$2:$C$97,A38,Post_GEM_Consumables!$G$2:$G$97,C38)</f>
        <v>0.107305</v>
      </c>
    </row>
    <row r="39" customFormat="false" ht="15" hidden="false" customHeight="true" outlineLevel="0" collapsed="false">
      <c r="A39" s="96" t="s">
        <v>1037</v>
      </c>
      <c r="B39" s="96"/>
      <c r="C39" s="96" t="s">
        <v>397</v>
      </c>
      <c r="D39" s="100" t="n">
        <f aca="false">SUMIFS(Pre_GEM_Consumables!$J$2:$J$110,Pre_GEM_Consumables!$C$2:$C$110,A39,Pre_GEM_Consumables!$G$2:$G$110,C39,Pre_GEM_Consumables!$B$2:$B$110,"Item")+SUMIFS(Post_GEM_Consumables!$J$2:$J$97,Post_GEM_Consumables!$C$2:$C$97,A39,Post_GEM_Consumables!$G$2:$G$97,C39,Post_GEM_Consumables!$B$2:$B$97,"Item")</f>
        <v>0</v>
      </c>
      <c r="E39" s="108" t="n">
        <f aca="false">IF(ISNUMBER(MATCH(C39,{"tube","each","plate","vial","kit","bottle","aliquot","strainer","cap","lane-rxn","tip","strip","lane","channel","library","sample"},0)),ROUNDUP(D39,0),ROUND(D39,2))</f>
        <v>0</v>
      </c>
      <c r="F39" s="109" t="n">
        <f aca="false">SUMIFS(Pre_GEM_Consumables!$N$2:$N$110,Pre_GEM_Consumables!$C$2:$C$110,A39,Pre_GEM_Consumables!$G$2:$G$110,C39)+SUMIFS(Post_GEM_Consumables!$N$2:$N$97,Post_GEM_Consumables!$C$2:$C$97,A39,Post_GEM_Consumables!$G$2:$G$97,C39)</f>
        <v>0</v>
      </c>
    </row>
    <row r="40" customFormat="false" ht="15" hidden="false" customHeight="true" outlineLevel="0" collapsed="false">
      <c r="A40" s="96" t="s">
        <v>940</v>
      </c>
      <c r="B40" s="96"/>
      <c r="C40" s="96" t="s">
        <v>397</v>
      </c>
      <c r="D40" s="100" t="n">
        <f aca="false">SUMIFS(Pre_GEM_Consumables!$J$2:$J$110,Pre_GEM_Consumables!$C$2:$C$110,A40,Pre_GEM_Consumables!$G$2:$G$110,C40,Pre_GEM_Consumables!$B$2:$B$110,"Item")+SUMIFS(Post_GEM_Consumables!$J$2:$J$97,Post_GEM_Consumables!$C$2:$C$97,A40,Post_GEM_Consumables!$G$2:$G$97,C40,Post_GEM_Consumables!$B$2:$B$97,"Item")</f>
        <v>1650</v>
      </c>
      <c r="E40" s="108" t="n">
        <f aca="false">IF(ISNUMBER(MATCH(C40,{"tube","each","plate","vial","kit","bottle","aliquot","strainer","cap","lane-rxn","tip","strip","lane","channel","library","sample"},0)),ROUNDUP(D40,0),ROUND(D40,2))</f>
        <v>1650</v>
      </c>
      <c r="F40" s="109" t="n">
        <f aca="false">SUMIFS(Pre_GEM_Consumables!$N$2:$N$110,Pre_GEM_Consumables!$C$2:$C$110,A40,Pre_GEM_Consumables!$G$2:$G$110,C40)+SUMIFS(Post_GEM_Consumables!$N$2:$N$97,Post_GEM_Consumables!$C$2:$C$97,A40,Post_GEM_Consumables!$G$2:$G$97,C40)</f>
        <v>0</v>
      </c>
    </row>
    <row r="41" customFormat="false" ht="15" hidden="false" customHeight="true" outlineLevel="0" collapsed="false">
      <c r="A41" s="96" t="s">
        <v>945</v>
      </c>
      <c r="B41" s="96"/>
      <c r="C41" s="96" t="s">
        <v>397</v>
      </c>
      <c r="D41" s="100" t="n">
        <f aca="false">SUMIFS(Pre_GEM_Consumables!$J$2:$J$110,Pre_GEM_Consumables!$C$2:$C$110,A41,Pre_GEM_Consumables!$G$2:$G$110,C41,Pre_GEM_Consumables!$B$2:$B$110,"Item")+SUMIFS(Post_GEM_Consumables!$J$2:$J$97,Post_GEM_Consumables!$C$2:$C$97,A41,Post_GEM_Consumables!$G$2:$G$97,C41,Post_GEM_Consumables!$B$2:$B$97,"Item")</f>
        <v>1.65</v>
      </c>
      <c r="E41" s="108" t="n">
        <f aca="false">IF(ISNUMBER(MATCH(C41,{"tube","each","plate","vial","kit","bottle","aliquot","strainer","cap","lane-rxn","tip","strip","lane","channel","library","sample"},0)),ROUNDUP(D41,0),ROUND(D41,2))</f>
        <v>1.65</v>
      </c>
      <c r="F41" s="109" t="n">
        <f aca="false">SUMIFS(Pre_GEM_Consumables!$N$2:$N$110,Pre_GEM_Consumables!$C$2:$C$110,A41,Pre_GEM_Consumables!$G$2:$G$110,C41)+SUMIFS(Post_GEM_Consumables!$N$2:$N$97,Post_GEM_Consumables!$C$2:$C$97,A41,Post_GEM_Consumables!$G$2:$G$97,C41)</f>
        <v>0</v>
      </c>
    </row>
    <row r="42" customFormat="false" ht="15" hidden="false" customHeight="true" outlineLevel="0" collapsed="false">
      <c r="A42" s="96" t="s">
        <v>610</v>
      </c>
      <c r="B42" s="96"/>
      <c r="C42" s="96" t="s">
        <v>571</v>
      </c>
      <c r="D42" s="100" t="n">
        <f aca="false">SUMIFS(Pre_GEM_Consumables!$J$2:$J$110,Pre_GEM_Consumables!$C$2:$C$110,A42,Pre_GEM_Consumables!$G$2:$G$110,C42,Pre_GEM_Consumables!$B$2:$B$110,"Item")+SUMIFS(Post_GEM_Consumables!$J$2:$J$97,Post_GEM_Consumables!$C$2:$C$97,A42,Post_GEM_Consumables!$G$2:$G$97,C42,Post_GEM_Consumables!$B$2:$B$97,"Item")</f>
        <v>1.1</v>
      </c>
      <c r="E42" s="108" t="n">
        <f aca="false">IF(ISNUMBER(MATCH(C42,{"tube","each","plate","vial","kit","bottle","aliquot","strainer","cap","lane-rxn","tip","strip","lane","channel","library","sample"},0)),ROUNDUP(D42,0),ROUND(D42,2))</f>
        <v>2</v>
      </c>
      <c r="F42" s="109" t="n">
        <f aca="false">SUMIFS(Pre_GEM_Consumables!$N$2:$N$110,Pre_GEM_Consumables!$C$2:$C$110,A42,Pre_GEM_Consumables!$G$2:$G$110,C42)+SUMIFS(Post_GEM_Consumables!$N$2:$N$97,Post_GEM_Consumables!$C$2:$C$97,A42,Post_GEM_Consumables!$G$2:$G$97,C42)</f>
        <v>0</v>
      </c>
    </row>
    <row r="43" customFormat="false" ht="15" hidden="false" customHeight="true" outlineLevel="0" collapsed="false">
      <c r="A43" s="96" t="s">
        <v>948</v>
      </c>
      <c r="B43" s="96"/>
      <c r="C43" s="96" t="s">
        <v>571</v>
      </c>
      <c r="D43" s="100" t="n">
        <f aca="false">SUMIFS(Pre_GEM_Consumables!$J$2:$J$110,Pre_GEM_Consumables!$C$2:$C$110,A43,Pre_GEM_Consumables!$G$2:$G$110,C43,Pre_GEM_Consumables!$B$2:$B$110,"Item")+SUMIFS(Post_GEM_Consumables!$J$2:$J$97,Post_GEM_Consumables!$C$2:$C$97,A43,Post_GEM_Consumables!$G$2:$G$97,C43,Post_GEM_Consumables!$B$2:$B$97,"Item")</f>
        <v>1.1</v>
      </c>
      <c r="E43" s="108" t="n">
        <f aca="false">IF(ISNUMBER(MATCH(C43,{"tube","each","plate","vial","kit","bottle","aliquot","strainer","cap","lane-rxn","tip","strip","lane","channel","library","sample"},0)),ROUNDUP(D43,0),ROUND(D43,2))</f>
        <v>2</v>
      </c>
      <c r="F43" s="109" t="n">
        <f aca="false">SUMIFS(Pre_GEM_Consumables!$N$2:$N$110,Pre_GEM_Consumables!$C$2:$C$110,A43,Pre_GEM_Consumables!$G$2:$G$110,C43)+SUMIFS(Post_GEM_Consumables!$N$2:$N$97,Post_GEM_Consumables!$C$2:$C$97,A43,Post_GEM_Consumables!$G$2:$G$97,C43)</f>
        <v>0</v>
      </c>
    </row>
    <row r="44" customFormat="false" ht="15" hidden="false" customHeight="true" outlineLevel="0" collapsed="false">
      <c r="A44" s="96" t="s">
        <v>950</v>
      </c>
      <c r="B44" s="96"/>
      <c r="C44" s="96" t="s">
        <v>548</v>
      </c>
      <c r="D44" s="100" t="n">
        <f aca="false">SUMIFS(Pre_GEM_Consumables!$J$2:$J$110,Pre_GEM_Consumables!$C$2:$C$110,A44,Pre_GEM_Consumables!$G$2:$G$110,C44,Pre_GEM_Consumables!$B$2:$B$110,"Item")+SUMIFS(Post_GEM_Consumables!$J$2:$J$97,Post_GEM_Consumables!$C$2:$C$97,A44,Post_GEM_Consumables!$G$2:$G$97,C44,Post_GEM_Consumables!$B$2:$B$97,"Item")</f>
        <v>4.4</v>
      </c>
      <c r="E44" s="108" t="n">
        <f aca="false">IF(ISNUMBER(MATCH(C44,{"tube","each","plate","vial","kit","bottle","aliquot","strainer","cap","lane-rxn","tip","strip","lane","channel","library","sample"},0)),ROUNDUP(D44,0),ROUND(D44,2))</f>
        <v>5</v>
      </c>
      <c r="F44" s="109" t="n">
        <f aca="false">SUMIFS(Pre_GEM_Consumables!$N$2:$N$110,Pre_GEM_Consumables!$C$2:$C$110,A44,Pre_GEM_Consumables!$G$2:$G$110,C44)+SUMIFS(Post_GEM_Consumables!$N$2:$N$97,Post_GEM_Consumables!$C$2:$C$97,A44,Post_GEM_Consumables!$G$2:$G$97,C44)</f>
        <v>0</v>
      </c>
    </row>
    <row r="45" customFormat="false" ht="15" hidden="false" customHeight="true" outlineLevel="0" collapsed="false">
      <c r="A45" s="96" t="s">
        <v>952</v>
      </c>
      <c r="B45" s="96"/>
      <c r="C45" s="96" t="s">
        <v>627</v>
      </c>
      <c r="D45" s="100" t="n">
        <f aca="false">SUMIFS(Pre_GEM_Consumables!$J$2:$J$110,Pre_GEM_Consumables!$C$2:$C$110,A45,Pre_GEM_Consumables!$G$2:$G$110,C45,Pre_GEM_Consumables!$B$2:$B$110,"Item")+SUMIFS(Post_GEM_Consumables!$J$2:$J$97,Post_GEM_Consumables!$C$2:$C$97,A45,Post_GEM_Consumables!$G$2:$G$97,C45,Post_GEM_Consumables!$B$2:$B$97,"Item")</f>
        <v>6.6</v>
      </c>
      <c r="E45" s="108" t="n">
        <f aca="false">IF(ISNUMBER(MATCH(C45,{"tube","each","plate","vial","kit","bottle","aliquot","strainer","cap","lane-rxn","tip","strip","lane","channel","library","sample"},0)),ROUNDUP(D45,0),ROUND(D45,2))</f>
        <v>7</v>
      </c>
      <c r="F45" s="109" t="n">
        <f aca="false">SUMIFS(Pre_GEM_Consumables!$N$2:$N$110,Pre_GEM_Consumables!$C$2:$C$110,A45,Pre_GEM_Consumables!$G$2:$G$110,C45)+SUMIFS(Post_GEM_Consumables!$N$2:$N$97,Post_GEM_Consumables!$C$2:$C$97,A45,Post_GEM_Consumables!$G$2:$G$97,C45)</f>
        <v>10.538</v>
      </c>
    </row>
    <row r="46" customFormat="false" ht="15" hidden="false" customHeight="true" outlineLevel="0" collapsed="false">
      <c r="A46" s="96" t="s">
        <v>911</v>
      </c>
      <c r="B46" s="96"/>
      <c r="C46" s="96" t="s">
        <v>912</v>
      </c>
      <c r="D46" s="100" t="n">
        <f aca="false">SUMIFS(Pre_GEM_Consumables!$J$2:$J$110,Pre_GEM_Consumables!$C$2:$C$110,A46,Pre_GEM_Consumables!$G$2:$G$110,C46,Pre_GEM_Consumables!$B$2:$B$110,"Item")+SUMIFS(Post_GEM_Consumables!$J$2:$J$97,Post_GEM_Consumables!$C$2:$C$97,A46,Post_GEM_Consumables!$G$2:$G$97,C46,Post_GEM_Consumables!$B$2:$B$97,"Item")</f>
        <v>6.6</v>
      </c>
      <c r="E46" s="108" t="n">
        <f aca="false">IF(ISNUMBER(MATCH(C46,{"tube","each","plate","vial","kit","bottle","aliquot","strainer","cap","lane-rxn","tip","strip","lane","channel","library","sample"},0)),ROUNDUP(D46,0),ROUND(D46,2))</f>
        <v>7</v>
      </c>
      <c r="F46" s="109" t="n">
        <f aca="false">SUMIFS(Pre_GEM_Consumables!$N$2:$N$110,Pre_GEM_Consumables!$C$2:$C$110,A46,Pre_GEM_Consumables!$G$2:$G$110,C46)+SUMIFS(Post_GEM_Consumables!$N$2:$N$97,Post_GEM_Consumables!$C$2:$C$97,A46,Post_GEM_Consumables!$G$2:$G$97,C46)</f>
        <v>0</v>
      </c>
    </row>
    <row r="47" customFormat="false" ht="15" hidden="false" customHeight="true" outlineLevel="0" collapsed="false">
      <c r="A47" s="96" t="s">
        <v>174</v>
      </c>
      <c r="B47" s="96"/>
      <c r="C47" s="96" t="s">
        <v>971</v>
      </c>
      <c r="D47" s="100" t="n">
        <f aca="false">SUMIFS(Pre_GEM_Consumables!$J$2:$J$110,Pre_GEM_Consumables!$C$2:$C$110,A47,Pre_GEM_Consumables!$G$2:$G$110,C47,Pre_GEM_Consumables!$B$2:$B$110,"Item")+SUMIFS(Post_GEM_Consumables!$J$2:$J$97,Post_GEM_Consumables!$C$2:$C$97,A47,Post_GEM_Consumables!$G$2:$G$97,C47,Post_GEM_Consumables!$B$2:$B$97,"Item")</f>
        <v>8.8</v>
      </c>
      <c r="E47" s="108" t="n">
        <f aca="false">IF(ISNUMBER(MATCH(C47,{"tube","each","plate","vial","kit","bottle","aliquot","strainer","cap","lane-rxn","tip","strip","lane","channel","library","sample"},0)),ROUNDUP(D47,0),ROUND(D47,2))</f>
        <v>8.8</v>
      </c>
      <c r="F47" s="109" t="n">
        <f aca="false">SUMIFS(Pre_GEM_Consumables!$N$2:$N$110,Pre_GEM_Consumables!$C$2:$C$110,A47,Pre_GEM_Consumables!$G$2:$G$110,C47)+SUMIFS(Post_GEM_Consumables!$N$2:$N$97,Post_GEM_Consumables!$C$2:$C$97,A47,Post_GEM_Consumables!$G$2:$G$97,C47)</f>
        <v>13018.5</v>
      </c>
    </row>
    <row r="48" customFormat="false" ht="15" hidden="false" customHeight="true" outlineLevel="0" collapsed="false">
      <c r="A48" s="96" t="s">
        <v>183</v>
      </c>
      <c r="B48" s="96"/>
      <c r="C48" s="96" t="s">
        <v>971</v>
      </c>
      <c r="D48" s="100" t="n">
        <f aca="false">SUMIFS(Pre_GEM_Consumables!$J$2:$J$110,Pre_GEM_Consumables!$C$2:$C$110,A48,Pre_GEM_Consumables!$G$2:$G$110,C48,Pre_GEM_Consumables!$B$2:$B$110,"Item")+SUMIFS(Post_GEM_Consumables!$J$2:$J$97,Post_GEM_Consumables!$C$2:$C$97,A48,Post_GEM_Consumables!$G$2:$G$97,C48,Post_GEM_Consumables!$B$2:$B$97,"Item")</f>
        <v>8.8</v>
      </c>
      <c r="E48" s="108" t="n">
        <f aca="false">IF(ISNUMBER(MATCH(C48,{"tube","each","plate","vial","kit","bottle","aliquot","strainer","cap","lane-rxn","tip","strip","lane","channel","library","sample"},0)),ROUNDUP(D48,0),ROUND(D48,2))</f>
        <v>8.8</v>
      </c>
      <c r="F48" s="109" t="n">
        <f aca="false">SUMIFS(Pre_GEM_Consumables!$N$2:$N$110,Pre_GEM_Consumables!$C$2:$C$110,A48,Pre_GEM_Consumables!$G$2:$G$110,C48)+SUMIFS(Post_GEM_Consumables!$N$2:$N$97,Post_GEM_Consumables!$C$2:$C$97,A48,Post_GEM_Consumables!$G$2:$G$97,C48)</f>
        <v>687.5</v>
      </c>
    </row>
    <row r="49" customFormat="false" ht="15" hidden="false" customHeight="true" outlineLevel="0" collapsed="false">
      <c r="A49" s="96" t="s">
        <v>188</v>
      </c>
      <c r="B49" s="96"/>
      <c r="C49" s="96" t="s">
        <v>971</v>
      </c>
      <c r="D49" s="100" t="n">
        <f aca="false">SUMIFS(Pre_GEM_Consumables!$J$2:$J$110,Pre_GEM_Consumables!$C$2:$C$110,A49,Pre_GEM_Consumables!$G$2:$G$110,C49,Pre_GEM_Consumables!$B$2:$B$110,"Item")+SUMIFS(Post_GEM_Consumables!$J$2:$J$97,Post_GEM_Consumables!$C$2:$C$97,A49,Post_GEM_Consumables!$G$2:$G$97,C49,Post_GEM_Consumables!$B$2:$B$97,"Item")</f>
        <v>17.6</v>
      </c>
      <c r="E49" s="108" t="n">
        <f aca="false">IF(ISNUMBER(MATCH(C49,{"tube","each","plate","vial","kit","bottle","aliquot","strainer","cap","lane-rxn","tip","strip","lane","channel","library","sample"},0)),ROUNDUP(D49,0),ROUND(D49,2))</f>
        <v>17.6</v>
      </c>
      <c r="F49" s="109" t="n">
        <f aca="false">SUMIFS(Pre_GEM_Consumables!$N$2:$N$110,Pre_GEM_Consumables!$C$2:$C$110,A49,Pre_GEM_Consumables!$G$2:$G$110,C49)+SUMIFS(Post_GEM_Consumables!$N$2:$N$97,Post_GEM_Consumables!$C$2:$C$97,A49,Post_GEM_Consumables!$G$2:$G$97,C49)</f>
        <v>1375</v>
      </c>
    </row>
    <row r="50" customFormat="false" ht="15" hidden="false" customHeight="true" outlineLevel="0" collapsed="false">
      <c r="A50" s="96" t="s">
        <v>192</v>
      </c>
      <c r="B50" s="96"/>
      <c r="C50" s="96" t="s">
        <v>971</v>
      </c>
      <c r="D50" s="100" t="n">
        <f aca="false">SUMIFS(Pre_GEM_Consumables!$J$2:$J$110,Pre_GEM_Consumables!$C$2:$C$110,A50,Pre_GEM_Consumables!$G$2:$G$110,C50,Pre_GEM_Consumables!$B$2:$B$110,"Item")+SUMIFS(Post_GEM_Consumables!$J$2:$J$97,Post_GEM_Consumables!$C$2:$C$97,A50,Post_GEM_Consumables!$G$2:$G$97,C50,Post_GEM_Consumables!$B$2:$B$97,"Item")</f>
        <v>17.6</v>
      </c>
      <c r="E50" s="108" t="n">
        <f aca="false">IF(ISNUMBER(MATCH(C50,{"tube","each","plate","vial","kit","bottle","aliquot","strainer","cap","lane-rxn","tip","strip","lane","channel","library","sample"},0)),ROUNDUP(D50,0),ROUND(D50,2))</f>
        <v>17.6</v>
      </c>
      <c r="F50" s="109" t="n">
        <f aca="false">SUMIFS(Pre_GEM_Consumables!$N$2:$N$110,Pre_GEM_Consumables!$C$2:$C$110,A50,Pre_GEM_Consumables!$G$2:$G$110,C50)+SUMIFS(Post_GEM_Consumables!$N$2:$N$97,Post_GEM_Consumables!$C$2:$C$97,A50,Post_GEM_Consumables!$G$2:$G$97,C50)</f>
        <v>176</v>
      </c>
    </row>
    <row r="51" customFormat="false" ht="15" hidden="false" customHeight="true" outlineLevel="0" collapsed="false">
      <c r="A51" s="96" t="s">
        <v>197</v>
      </c>
      <c r="B51" s="96"/>
      <c r="C51" s="96" t="s">
        <v>971</v>
      </c>
      <c r="D51" s="100" t="n">
        <f aca="false">SUMIFS(Pre_GEM_Consumables!$J$2:$J$110,Pre_GEM_Consumables!$C$2:$C$110,A51,Pre_GEM_Consumables!$G$2:$G$110,C51,Pre_GEM_Consumables!$B$2:$B$110,"Item")+SUMIFS(Post_GEM_Consumables!$J$2:$J$97,Post_GEM_Consumables!$C$2:$C$97,A51,Post_GEM_Consumables!$G$2:$G$97,C51,Post_GEM_Consumables!$B$2:$B$97,"Item")</f>
        <v>8.8</v>
      </c>
      <c r="E51" s="108" t="n">
        <f aca="false">IF(ISNUMBER(MATCH(C51,{"tube","each","plate","vial","kit","bottle","aliquot","strainer","cap","lane-rxn","tip","strip","lane","channel","library","sample"},0)),ROUNDUP(D51,0),ROUND(D51,2))</f>
        <v>8.8</v>
      </c>
      <c r="F51" s="109" t="n">
        <f aca="false">SUMIFS(Pre_GEM_Consumables!$N$2:$N$110,Pre_GEM_Consumables!$C$2:$C$110,A51,Pre_GEM_Consumables!$G$2:$G$110,C51)+SUMIFS(Post_GEM_Consumables!$N$2:$N$97,Post_GEM_Consumables!$C$2:$C$97,A51,Post_GEM_Consumables!$G$2:$G$97,C51)</f>
        <v>198</v>
      </c>
    </row>
    <row r="52" customFormat="false" ht="15" hidden="false" customHeight="true" outlineLevel="0" collapsed="false">
      <c r="A52" s="96" t="s">
        <v>201</v>
      </c>
      <c r="B52" s="96"/>
      <c r="C52" s="96" t="s">
        <v>971</v>
      </c>
      <c r="D52" s="100" t="n">
        <f aca="false">SUMIFS(Pre_GEM_Consumables!$J$2:$J$110,Pre_GEM_Consumables!$C$2:$C$110,A52,Pre_GEM_Consumables!$G$2:$G$110,C52,Pre_GEM_Consumables!$B$2:$B$110,"Item")+SUMIFS(Post_GEM_Consumables!$J$2:$J$97,Post_GEM_Consumables!$C$2:$C$97,A52,Post_GEM_Consumables!$G$2:$G$97,C52,Post_GEM_Consumables!$B$2:$B$97,"Item")</f>
        <v>8.8</v>
      </c>
      <c r="E52" s="108" t="n">
        <f aca="false">IF(ISNUMBER(MATCH(C52,{"tube","each","plate","vial","kit","bottle","aliquot","strainer","cap","lane-rxn","tip","strip","lane","channel","library","sample"},0)),ROUNDUP(D52,0),ROUND(D52,2))</f>
        <v>8.8</v>
      </c>
      <c r="F52" s="109" t="n">
        <f aca="false">SUMIFS(Pre_GEM_Consumables!$N$2:$N$110,Pre_GEM_Consumables!$C$2:$C$110,A52,Pre_GEM_Consumables!$G$2:$G$110,C52)+SUMIFS(Post_GEM_Consumables!$N$2:$N$97,Post_GEM_Consumables!$C$2:$C$97,A52,Post_GEM_Consumables!$G$2:$G$97,C52)</f>
        <v>198</v>
      </c>
    </row>
    <row r="53" customFormat="false" ht="15" hidden="false" customHeight="true" outlineLevel="0" collapsed="false">
      <c r="A53" s="96" t="s">
        <v>204</v>
      </c>
      <c r="B53" s="96"/>
      <c r="C53" s="96" t="s">
        <v>971</v>
      </c>
      <c r="D53" s="100" t="n">
        <f aca="false">SUMIFS(Pre_GEM_Consumables!$J$2:$J$110,Pre_GEM_Consumables!$C$2:$C$110,A53,Pre_GEM_Consumables!$G$2:$G$110,C53,Pre_GEM_Consumables!$B$2:$B$110,"Item")+SUMIFS(Post_GEM_Consumables!$J$2:$J$97,Post_GEM_Consumables!$C$2:$C$97,A53,Post_GEM_Consumables!$G$2:$G$97,C53,Post_GEM_Consumables!$B$2:$B$97,"Item")</f>
        <v>8.8</v>
      </c>
      <c r="E53" s="108" t="n">
        <f aca="false">IF(ISNUMBER(MATCH(C53,{"tube","each","plate","vial","kit","bottle","aliquot","strainer","cap","lane-rxn","tip","strip","lane","channel","library","sample"},0)),ROUNDUP(D53,0),ROUND(D53,2))</f>
        <v>8.8</v>
      </c>
      <c r="F53" s="109" t="n">
        <f aca="false">SUMIFS(Pre_GEM_Consumables!$N$2:$N$110,Pre_GEM_Consumables!$C$2:$C$110,A53,Pre_GEM_Consumables!$G$2:$G$110,C53)+SUMIFS(Post_GEM_Consumables!$N$2:$N$97,Post_GEM_Consumables!$C$2:$C$97,A53,Post_GEM_Consumables!$G$2:$G$97,C53)</f>
        <v>368.5</v>
      </c>
    </row>
    <row r="54" customFormat="false" ht="15" hidden="false" customHeight="true" outlineLevel="0" collapsed="false">
      <c r="A54" s="96" t="s">
        <v>207</v>
      </c>
      <c r="B54" s="96"/>
      <c r="C54" s="96" t="s">
        <v>971</v>
      </c>
      <c r="D54" s="100" t="n">
        <f aca="false">SUMIFS(Pre_GEM_Consumables!$J$2:$J$110,Pre_GEM_Consumables!$C$2:$C$110,A54,Pre_GEM_Consumables!$G$2:$G$110,C54,Pre_GEM_Consumables!$B$2:$B$110,"Item")+SUMIFS(Post_GEM_Consumables!$J$2:$J$97,Post_GEM_Consumables!$C$2:$C$97,A54,Post_GEM_Consumables!$G$2:$G$97,C54,Post_GEM_Consumables!$B$2:$B$97,"Item")</f>
        <v>8.8</v>
      </c>
      <c r="E54" s="108" t="n">
        <f aca="false">IF(ISNUMBER(MATCH(C54,{"tube","each","plate","vial","kit","bottle","aliquot","strainer","cap","lane-rxn","tip","strip","lane","channel","library","sample"},0)),ROUNDUP(D54,0),ROUND(D54,2))</f>
        <v>8.8</v>
      </c>
      <c r="F54" s="109" t="n">
        <f aca="false">SUMIFS(Pre_GEM_Consumables!$N$2:$N$110,Pre_GEM_Consumables!$C$2:$C$110,A54,Pre_GEM_Consumables!$G$2:$G$110,C54)+SUMIFS(Post_GEM_Consumables!$N$2:$N$97,Post_GEM_Consumables!$C$2:$C$97,A54,Post_GEM_Consumables!$G$2:$G$97,C54)</f>
        <v>88</v>
      </c>
    </row>
    <row r="55" customFormat="false" ht="15" hidden="false" customHeight="true" outlineLevel="0" collapsed="false">
      <c r="A55" s="96" t="s">
        <v>264</v>
      </c>
      <c r="B55" s="96"/>
      <c r="C55" s="96" t="s">
        <v>971</v>
      </c>
      <c r="D55" s="100" t="n">
        <f aca="false">SUMIFS(Pre_GEM_Consumables!$J$2:$J$110,Pre_GEM_Consumables!$C$2:$C$110,A55,Pre_GEM_Consumables!$G$2:$G$110,C55,Pre_GEM_Consumables!$B$2:$B$110,"Item")+SUMIFS(Post_GEM_Consumables!$J$2:$J$97,Post_GEM_Consumables!$C$2:$C$97,A55,Post_GEM_Consumables!$G$2:$G$97,C55,Post_GEM_Consumables!$B$2:$B$97,"Item")</f>
        <v>4.4</v>
      </c>
      <c r="E55" s="108" t="n">
        <f aca="false">IF(ISNUMBER(MATCH(C55,{"tube","each","plate","vial","kit","bottle","aliquot","strainer","cap","lane-rxn","tip","strip","lane","channel","library","sample"},0)),ROUNDUP(D55,0),ROUND(D55,2))</f>
        <v>4.4</v>
      </c>
      <c r="F55" s="109" t="n">
        <f aca="false">SUMIFS(Pre_GEM_Consumables!$N$2:$N$110,Pre_GEM_Consumables!$C$2:$C$110,A55,Pre_GEM_Consumables!$G$2:$G$110,C55)+SUMIFS(Post_GEM_Consumables!$N$2:$N$97,Post_GEM_Consumables!$C$2:$C$97,A55,Post_GEM_Consumables!$G$2:$G$97,C55)</f>
        <v>6875</v>
      </c>
    </row>
    <row r="56" customFormat="false" ht="15" hidden="false" customHeight="true" outlineLevel="0" collapsed="false">
      <c r="A56" s="96" t="s">
        <v>268</v>
      </c>
      <c r="B56" s="96"/>
      <c r="C56" s="96" t="s">
        <v>971</v>
      </c>
      <c r="D56" s="100" t="n">
        <f aca="false">SUMIFS(Pre_GEM_Consumables!$J$2:$J$110,Pre_GEM_Consumables!$C$2:$C$110,A56,Pre_GEM_Consumables!$G$2:$G$110,C56,Pre_GEM_Consumables!$B$2:$B$110,"Item")+SUMIFS(Post_GEM_Consumables!$J$2:$J$97,Post_GEM_Consumables!$C$2:$C$97,A56,Post_GEM_Consumables!$G$2:$G$97,C56,Post_GEM_Consumables!$B$2:$B$97,"Item")</f>
        <v>4.4</v>
      </c>
      <c r="E56" s="108" t="n">
        <f aca="false">IF(ISNUMBER(MATCH(C56,{"tube","each","plate","vial","kit","bottle","aliquot","strainer","cap","lane-rxn","tip","strip","lane","channel","library","sample"},0)),ROUNDUP(D56,0),ROUND(D56,2))</f>
        <v>4.4</v>
      </c>
      <c r="F56" s="109" t="n">
        <f aca="false">SUMIFS(Pre_GEM_Consumables!$N$2:$N$110,Pre_GEM_Consumables!$C$2:$C$110,A56,Pre_GEM_Consumables!$G$2:$G$110,C56)+SUMIFS(Post_GEM_Consumables!$N$2:$N$97,Post_GEM_Consumables!$C$2:$C$97,A56,Post_GEM_Consumables!$G$2:$G$97,C56)</f>
        <v>165</v>
      </c>
    </row>
    <row r="57" customFormat="false" ht="15" hidden="false" customHeight="true" outlineLevel="0" collapsed="false">
      <c r="A57" s="96" t="s">
        <v>276</v>
      </c>
      <c r="B57" s="96"/>
      <c r="C57" s="96" t="s">
        <v>971</v>
      </c>
      <c r="D57" s="100" t="n">
        <f aca="false">SUMIFS(Pre_GEM_Consumables!$J$2:$J$110,Pre_GEM_Consumables!$C$2:$C$110,A57,Pre_GEM_Consumables!$G$2:$G$110,C57,Pre_GEM_Consumables!$B$2:$B$110,"Item")+SUMIFS(Post_GEM_Consumables!$J$2:$J$97,Post_GEM_Consumables!$C$2:$C$97,A57,Post_GEM_Consumables!$G$2:$G$97,C57,Post_GEM_Consumables!$B$2:$B$97,"Item")</f>
        <v>4.4</v>
      </c>
      <c r="E57" s="108" t="n">
        <f aca="false">IF(ISNUMBER(MATCH(C57,{"tube","each","plate","vial","kit","bottle","aliquot","strainer","cap","lane-rxn","tip","strip","lane","channel","library","sample"},0)),ROUNDUP(D57,0),ROUND(D57,2))</f>
        <v>4.4</v>
      </c>
      <c r="F57" s="109" t="n">
        <f aca="false">SUMIFS(Pre_GEM_Consumables!$N$2:$N$110,Pre_GEM_Consumables!$C$2:$C$110,A57,Pre_GEM_Consumables!$G$2:$G$110,C57)+SUMIFS(Post_GEM_Consumables!$N$2:$N$97,Post_GEM_Consumables!$C$2:$C$97,A57,Post_GEM_Consumables!$G$2:$G$97,C57)</f>
        <v>44</v>
      </c>
    </row>
    <row r="58" customFormat="false" ht="15" hidden="false" customHeight="true" outlineLevel="0" collapsed="false">
      <c r="A58" s="96" t="s">
        <v>354</v>
      </c>
      <c r="B58" s="96"/>
      <c r="C58" s="96" t="s">
        <v>337</v>
      </c>
      <c r="D58" s="100" t="n">
        <f aca="false">SUMIFS(Pre_GEM_Consumables!$J$2:$J$110,Pre_GEM_Consumables!$C$2:$C$110,A58,Pre_GEM_Consumables!$G$2:$G$110,C58,Pre_GEM_Consumables!$B$2:$B$110,"Item")+SUMIFS(Post_GEM_Consumables!$J$2:$J$97,Post_GEM_Consumables!$C$2:$C$97,A58,Post_GEM_Consumables!$G$2:$G$97,C58,Post_GEM_Consumables!$B$2:$B$97,"Item")</f>
        <v>5.3075</v>
      </c>
      <c r="E58" s="108" t="n">
        <f aca="false">IF(ISNUMBER(MATCH(C58,{"tube","each","plate","vial","kit","bottle","aliquot","strainer","cap","lane-rxn","tip","strip","lane","channel","library","sample"},0)),ROUNDUP(D58,0),ROUND(D58,2))</f>
        <v>5.31</v>
      </c>
      <c r="F58" s="109" t="n">
        <f aca="false">SUMIFS(Pre_GEM_Consumables!$N$2:$N$110,Pre_GEM_Consumables!$C$2:$C$110,A58,Pre_GEM_Consumables!$G$2:$G$110,C58)+SUMIFS(Post_GEM_Consumables!$N$2:$N$97,Post_GEM_Consumables!$C$2:$C$97,A58,Post_GEM_Consumables!$G$2:$G$97,C58)</f>
        <v>1.059377</v>
      </c>
    </row>
    <row r="59" customFormat="false" ht="15" hidden="false" customHeight="true" outlineLevel="0" collapsed="false">
      <c r="A59" s="96" t="s">
        <v>991</v>
      </c>
      <c r="B59" s="96"/>
      <c r="C59" s="96" t="s">
        <v>337</v>
      </c>
      <c r="D59" s="100" t="n">
        <f aca="false">SUMIFS(Pre_GEM_Consumables!$J$2:$J$110,Pre_GEM_Consumables!$C$2:$C$110,A59,Pre_GEM_Consumables!$G$2:$G$110,C59,Pre_GEM_Consumables!$B$2:$B$110,"Item")+SUMIFS(Post_GEM_Consumables!$J$2:$J$97,Post_GEM_Consumables!$C$2:$C$97,A59,Post_GEM_Consumables!$G$2:$G$97,C59,Post_GEM_Consumables!$B$2:$B$97,"Item")</f>
        <v>44.44</v>
      </c>
      <c r="E59" s="108" t="n">
        <f aca="false">IF(ISNUMBER(MATCH(C59,{"tube","each","plate","vial","kit","bottle","aliquot","strainer","cap","lane-rxn","tip","strip","lane","channel","library","sample"},0)),ROUNDUP(D59,0),ROUND(D59,2))</f>
        <v>44.44</v>
      </c>
      <c r="F59" s="109" t="n">
        <f aca="false">SUMIFS(Pre_GEM_Consumables!$N$2:$N$110,Pre_GEM_Consumables!$C$2:$C$110,A59,Pre_GEM_Consumables!$G$2:$G$110,C59)+SUMIFS(Post_GEM_Consumables!$N$2:$N$97,Post_GEM_Consumables!$C$2:$C$97,A59,Post_GEM_Consumables!$G$2:$G$97,C59)</f>
        <v>9.68792</v>
      </c>
    </row>
    <row r="60" customFormat="false" ht="15" hidden="false" customHeight="true" outlineLevel="0" collapsed="false">
      <c r="A60" s="96" t="s">
        <v>992</v>
      </c>
      <c r="B60" s="96"/>
      <c r="C60" s="96" t="s">
        <v>337</v>
      </c>
      <c r="D60" s="100" t="n">
        <f aca="false">SUMIFS(Pre_GEM_Consumables!$J$2:$J$110,Pre_GEM_Consumables!$C$2:$C$110,A60,Pre_GEM_Consumables!$G$2:$G$110,C60,Pre_GEM_Consumables!$B$2:$B$110,"Item")+SUMIFS(Post_GEM_Consumables!$J$2:$J$97,Post_GEM_Consumables!$C$2:$C$97,A60,Post_GEM_Consumables!$G$2:$G$97,C60,Post_GEM_Consumables!$B$2:$B$97,"Item")</f>
        <v>7.9002</v>
      </c>
      <c r="E60" s="108" t="n">
        <f aca="false">IF(ISNUMBER(MATCH(C60,{"tube","each","plate","vial","kit","bottle","aliquot","strainer","cap","lane-rxn","tip","strip","lane","channel","library","sample"},0)),ROUNDUP(D60,0),ROUND(D60,2))</f>
        <v>7.9</v>
      </c>
      <c r="F60" s="109" t="n">
        <f aca="false">SUMIFS(Pre_GEM_Consumables!$N$2:$N$110,Pre_GEM_Consumables!$C$2:$C$110,A60,Pre_GEM_Consumables!$G$2:$G$110,C60)+SUMIFS(Post_GEM_Consumables!$N$2:$N$97,Post_GEM_Consumables!$C$2:$C$97,A60,Post_GEM_Consumables!$G$2:$G$97,C60)</f>
        <v>215.398953</v>
      </c>
    </row>
    <row r="61" customFormat="false" ht="15" hidden="false" customHeight="true" outlineLevel="0" collapsed="false">
      <c r="A61" s="96" t="s">
        <v>1004</v>
      </c>
      <c r="B61" s="96"/>
      <c r="C61" s="96" t="s">
        <v>1005</v>
      </c>
      <c r="D61" s="100" t="n">
        <f aca="false">SUMIFS(Pre_GEM_Consumables!$J$2:$J$110,Pre_GEM_Consumables!$C$2:$C$110,A61,Pre_GEM_Consumables!$G$2:$G$110,C61,Pre_GEM_Consumables!$B$2:$B$110,"Item")+SUMIFS(Post_GEM_Consumables!$J$2:$J$97,Post_GEM_Consumables!$C$2:$C$97,A61,Post_GEM_Consumables!$G$2:$G$97,C61,Post_GEM_Consumables!$B$2:$B$97,"Item")</f>
        <v>30.8</v>
      </c>
      <c r="E61" s="108" t="n">
        <f aca="false">IF(ISNUMBER(MATCH(C61,{"tube","each","plate","vial","kit","bottle","aliquot","strainer","cap","lane-rxn","tip","strip","lane","channel","library","sample"},0)),ROUNDUP(D61,0),ROUND(D61,2))</f>
        <v>31</v>
      </c>
      <c r="F61" s="109" t="n">
        <f aca="false">SUMIFS(Pre_GEM_Consumables!$N$2:$N$110,Pre_GEM_Consumables!$C$2:$C$110,A61,Pre_GEM_Consumables!$G$2:$G$110,C61)+SUMIFS(Post_GEM_Consumables!$N$2:$N$97,Post_GEM_Consumables!$C$2:$C$97,A61,Post_GEM_Consumables!$G$2:$G$97,C61)</f>
        <v>0</v>
      </c>
    </row>
    <row r="62" customFormat="false" ht="15" hidden="false" customHeight="true" outlineLevel="0" collapsed="false">
      <c r="A62" s="96" t="s">
        <v>1006</v>
      </c>
      <c r="B62" s="96"/>
      <c r="C62" s="96" t="s">
        <v>1005</v>
      </c>
      <c r="D62" s="100" t="n">
        <f aca="false">SUMIFS(Pre_GEM_Consumables!$J$2:$J$110,Pre_GEM_Consumables!$C$2:$C$110,A62,Pre_GEM_Consumables!$G$2:$G$110,C62,Pre_GEM_Consumables!$B$2:$B$110,"Item")+SUMIFS(Post_GEM_Consumables!$J$2:$J$97,Post_GEM_Consumables!$C$2:$C$97,A62,Post_GEM_Consumables!$G$2:$G$97,C62,Post_GEM_Consumables!$B$2:$B$97,"Item")</f>
        <v>30.8</v>
      </c>
      <c r="E62" s="108" t="n">
        <f aca="false">IF(ISNUMBER(MATCH(C62,{"tube","each","plate","vial","kit","bottle","aliquot","strainer","cap","lane-rxn","tip","strip","lane","channel","library","sample"},0)),ROUNDUP(D62,0),ROUND(D62,2))</f>
        <v>31</v>
      </c>
      <c r="F62" s="109" t="n">
        <f aca="false">SUMIFS(Pre_GEM_Consumables!$N$2:$N$110,Pre_GEM_Consumables!$C$2:$C$110,A62,Pre_GEM_Consumables!$G$2:$G$110,C62)+SUMIFS(Post_GEM_Consumables!$N$2:$N$97,Post_GEM_Consumables!$C$2:$C$97,A62,Post_GEM_Consumables!$G$2:$G$97,C62)</f>
        <v>26.28164</v>
      </c>
    </row>
    <row r="63" customFormat="false" ht="15" hidden="false" customHeight="true" outlineLevel="0" collapsed="false">
      <c r="A63" s="96" t="s">
        <v>1007</v>
      </c>
      <c r="B63" s="96"/>
      <c r="C63" s="96" t="s">
        <v>548</v>
      </c>
      <c r="D63" s="100" t="n">
        <f aca="false">SUMIFS(Pre_GEM_Consumables!$J$2:$J$110,Pre_GEM_Consumables!$C$2:$C$110,A63,Pre_GEM_Consumables!$G$2:$G$110,C63,Pre_GEM_Consumables!$B$2:$B$110,"Item")+SUMIFS(Post_GEM_Consumables!$J$2:$J$97,Post_GEM_Consumables!$C$2:$C$97,A63,Post_GEM_Consumables!$G$2:$G$97,C63,Post_GEM_Consumables!$B$2:$B$97,"Item")</f>
        <v>30.8</v>
      </c>
      <c r="E63" s="108" t="n">
        <f aca="false">IF(ISNUMBER(MATCH(C63,{"tube","each","plate","vial","kit","bottle","aliquot","strainer","cap","lane-rxn","tip","strip","lane","channel","library","sample"},0)),ROUNDUP(D63,0),ROUND(D63,2))</f>
        <v>31</v>
      </c>
      <c r="F63" s="109" t="n">
        <f aca="false">SUMIFS(Pre_GEM_Consumables!$N$2:$N$110,Pre_GEM_Consumables!$C$2:$C$110,A63,Pre_GEM_Consumables!$G$2:$G$110,C63)+SUMIFS(Post_GEM_Consumables!$N$2:$N$97,Post_GEM_Consumables!$C$2:$C$97,A63,Post_GEM_Consumables!$G$2:$G$97,C63)</f>
        <v>8.316</v>
      </c>
    </row>
    <row r="64" customFormat="false" ht="15" hidden="false" customHeight="true" outlineLevel="0" collapsed="false">
      <c r="A64" s="96" t="s">
        <v>993</v>
      </c>
      <c r="B64" s="96"/>
      <c r="C64" s="96" t="s">
        <v>562</v>
      </c>
      <c r="D64" s="100" t="n">
        <f aca="false">SUMIFS(Pre_GEM_Consumables!$J$2:$J$110,Pre_GEM_Consumables!$C$2:$C$110,A64,Pre_GEM_Consumables!$G$2:$G$110,C64,Pre_GEM_Consumables!$B$2:$B$110,"Item")+SUMIFS(Post_GEM_Consumables!$J$2:$J$97,Post_GEM_Consumables!$C$2:$C$97,A64,Post_GEM_Consumables!$G$2:$G$97,C64,Post_GEM_Consumables!$B$2:$B$97,"Item")</f>
        <v>6.325</v>
      </c>
      <c r="E64" s="108" t="n">
        <f aca="false">IF(ISNUMBER(MATCH(C64,{"tube","each","plate","vial","kit","bottle","aliquot","strainer","cap","lane-rxn","tip","strip","lane","channel","library","sample"},0)),ROUNDUP(D64,0),ROUND(D64,2))</f>
        <v>7</v>
      </c>
      <c r="F64" s="109" t="n">
        <f aca="false">SUMIFS(Pre_GEM_Consumables!$N$2:$N$110,Pre_GEM_Consumables!$C$2:$C$110,A64,Pre_GEM_Consumables!$G$2:$G$110,C64)+SUMIFS(Post_GEM_Consumables!$N$2:$N$97,Post_GEM_Consumables!$C$2:$C$97,A64,Post_GEM_Consumables!$G$2:$G$97,C64)</f>
        <v>4.93603</v>
      </c>
    </row>
    <row r="65" customFormat="false" ht="15" hidden="false" customHeight="true" outlineLevel="0" collapsed="false">
      <c r="A65" s="96" t="s">
        <v>995</v>
      </c>
      <c r="B65" s="96"/>
      <c r="C65" s="96" t="s">
        <v>534</v>
      </c>
      <c r="D65" s="100" t="n">
        <f aca="false">SUMIFS(Pre_GEM_Consumables!$J$2:$J$110,Pre_GEM_Consumables!$C$2:$C$110,A65,Pre_GEM_Consumables!$G$2:$G$110,C65,Pre_GEM_Consumables!$B$2:$B$110,"Item")+SUMIFS(Post_GEM_Consumables!$J$2:$J$97,Post_GEM_Consumables!$C$2:$C$97,A65,Post_GEM_Consumables!$G$2:$G$97,C65,Post_GEM_Consumables!$B$2:$B$97,"Item")</f>
        <v>8.8</v>
      </c>
      <c r="E65" s="108" t="n">
        <f aca="false">IF(ISNUMBER(MATCH(C65,{"tube","each","plate","vial","kit","bottle","aliquot","strainer","cap","lane-rxn","tip","strip","lane","channel","library","sample"},0)),ROUNDUP(D65,0),ROUND(D65,2))</f>
        <v>9</v>
      </c>
      <c r="F65" s="109" t="n">
        <f aca="false">SUMIFS(Pre_GEM_Consumables!$N$2:$N$110,Pre_GEM_Consumables!$C$2:$C$110,A65,Pre_GEM_Consumables!$G$2:$G$110,C65)+SUMIFS(Post_GEM_Consumables!$N$2:$N$97,Post_GEM_Consumables!$C$2:$C$97,A65,Post_GEM_Consumables!$G$2:$G$97,C65)</f>
        <v>0.267609375</v>
      </c>
    </row>
    <row r="66" customFormat="false" ht="15" hidden="false" customHeight="true" outlineLevel="0" collapsed="false">
      <c r="A66" s="96" t="s">
        <v>997</v>
      </c>
      <c r="B66" s="96"/>
      <c r="C66" s="96" t="s">
        <v>534</v>
      </c>
      <c r="D66" s="100" t="n">
        <f aca="false">SUMIFS(Pre_GEM_Consumables!$J$2:$J$110,Pre_GEM_Consumables!$C$2:$C$110,A66,Pre_GEM_Consumables!$G$2:$G$110,C66,Pre_GEM_Consumables!$B$2:$B$110,"Item")+SUMIFS(Post_GEM_Consumables!$J$2:$J$97,Post_GEM_Consumables!$C$2:$C$97,A66,Post_GEM_Consumables!$G$2:$G$97,C66,Post_GEM_Consumables!$B$2:$B$97,"Item")</f>
        <v>138.6</v>
      </c>
      <c r="E66" s="108" t="n">
        <f aca="false">IF(ISNUMBER(MATCH(C66,{"tube","each","plate","vial","kit","bottle","aliquot","strainer","cap","lane-rxn","tip","strip","lane","channel","library","sample"},0)),ROUNDUP(D66,0),ROUND(D66,2))</f>
        <v>139</v>
      </c>
      <c r="F66" s="109" t="n">
        <f aca="false">SUMIFS(Pre_GEM_Consumables!$N$2:$N$110,Pre_GEM_Consumables!$C$2:$C$110,A66,Pre_GEM_Consumables!$G$2:$G$110,C66)+SUMIFS(Post_GEM_Consumables!$N$2:$N$97,Post_GEM_Consumables!$C$2:$C$97,A66,Post_GEM_Consumables!$G$2:$G$97,C66)</f>
        <v>2.604525</v>
      </c>
    </row>
    <row r="67" customFormat="false" ht="15" hidden="false" customHeight="true" outlineLevel="0" collapsed="false">
      <c r="A67" s="96" t="s">
        <v>998</v>
      </c>
      <c r="B67" s="96"/>
      <c r="C67" s="96" t="s">
        <v>534</v>
      </c>
      <c r="D67" s="100" t="n">
        <f aca="false">SUMIFS(Pre_GEM_Consumables!$J$2:$J$110,Pre_GEM_Consumables!$C$2:$C$110,A67,Pre_GEM_Consumables!$G$2:$G$110,C67,Pre_GEM_Consumables!$B$2:$B$110,"Item")+SUMIFS(Post_GEM_Consumables!$J$2:$J$97,Post_GEM_Consumables!$C$2:$C$97,A67,Post_GEM_Consumables!$G$2:$G$97,C67,Post_GEM_Consumables!$B$2:$B$97,"Item")</f>
        <v>57.2</v>
      </c>
      <c r="E67" s="108" t="n">
        <f aca="false">IF(ISNUMBER(MATCH(C67,{"tube","each","plate","vial","kit","bottle","aliquot","strainer","cap","lane-rxn","tip","strip","lane","channel","library","sample"},0)),ROUNDUP(D67,0),ROUND(D67,2))</f>
        <v>58</v>
      </c>
      <c r="F67" s="109" t="n">
        <f aca="false">SUMIFS(Pre_GEM_Consumables!$N$2:$N$110,Pre_GEM_Consumables!$C$2:$C$110,A67,Pre_GEM_Consumables!$G$2:$G$110,C67)+SUMIFS(Post_GEM_Consumables!$N$2:$N$97,Post_GEM_Consumables!$C$2:$C$97,A67,Post_GEM_Consumables!$G$2:$G$97,C67)</f>
        <v>1.07488333333333</v>
      </c>
    </row>
    <row r="68" customFormat="false" ht="15" hidden="false" customHeight="true" outlineLevel="0" collapsed="false">
      <c r="A68" s="96" t="s">
        <v>999</v>
      </c>
      <c r="B68" s="96"/>
      <c r="C68" s="96" t="s">
        <v>548</v>
      </c>
      <c r="D68" s="100" t="n">
        <f aca="false">SUMIFS(Pre_GEM_Consumables!$J$2:$J$110,Pre_GEM_Consumables!$C$2:$C$110,A68,Pre_GEM_Consumables!$G$2:$G$110,C68,Pre_GEM_Consumables!$B$2:$B$110,"Item")+SUMIFS(Post_GEM_Consumables!$J$2:$J$97,Post_GEM_Consumables!$C$2:$C$97,A68,Post_GEM_Consumables!$G$2:$G$97,C68,Post_GEM_Consumables!$B$2:$B$97,"Item")</f>
        <v>39.6</v>
      </c>
      <c r="E68" s="108" t="n">
        <f aca="false">IF(ISNUMBER(MATCH(C68,{"tube","each","plate","vial","kit","bottle","aliquot","strainer","cap","lane-rxn","tip","strip","lane","channel","library","sample"},0)),ROUNDUP(D68,0),ROUND(D68,2))</f>
        <v>40</v>
      </c>
      <c r="F68" s="109" t="n">
        <f aca="false">SUMIFS(Pre_GEM_Consumables!$N$2:$N$110,Pre_GEM_Consumables!$C$2:$C$110,A68,Pre_GEM_Consumables!$G$2:$G$110,C68)+SUMIFS(Post_GEM_Consumables!$N$2:$N$97,Post_GEM_Consumables!$C$2:$C$97,A68,Post_GEM_Consumables!$G$2:$G$97,C68)</f>
        <v>7.110576</v>
      </c>
    </row>
    <row r="69" customFormat="false" ht="15" hidden="false" customHeight="true" outlineLevel="0" collapsed="false">
      <c r="A69" s="96" t="s">
        <v>1001</v>
      </c>
      <c r="B69" s="96"/>
      <c r="C69" s="96" t="s">
        <v>373</v>
      </c>
      <c r="D69" s="100" t="n">
        <f aca="false">SUMIFS(Pre_GEM_Consumables!$J$2:$J$110,Pre_GEM_Consumables!$C$2:$C$110,A69,Pre_GEM_Consumables!$G$2:$G$110,C69,Pre_GEM_Consumables!$B$2:$B$110,"Item")+SUMIFS(Post_GEM_Consumables!$J$2:$J$97,Post_GEM_Consumables!$C$2:$C$97,A69,Post_GEM_Consumables!$G$2:$G$97,C69,Post_GEM_Consumables!$B$2:$B$97,"Item")</f>
        <v>17.6</v>
      </c>
      <c r="E69" s="108" t="n">
        <f aca="false">IF(ISNUMBER(MATCH(C69,{"tube","each","plate","vial","kit","bottle","aliquot","strainer","cap","lane-rxn","tip","strip","lane","channel","library","sample"},0)),ROUNDUP(D69,0),ROUND(D69,2))</f>
        <v>18</v>
      </c>
      <c r="F69" s="109" t="n">
        <f aca="false">SUMIFS(Pre_GEM_Consumables!$N$2:$N$110,Pre_GEM_Consumables!$C$2:$C$110,A69,Pre_GEM_Consumables!$G$2:$G$110,C69)+SUMIFS(Post_GEM_Consumables!$N$2:$N$97,Post_GEM_Consumables!$C$2:$C$97,A69,Post_GEM_Consumables!$G$2:$G$97,C69)</f>
        <v>0</v>
      </c>
    </row>
    <row r="70" customFormat="false" ht="15" hidden="false" customHeight="true" outlineLevel="0" collapsed="false">
      <c r="A70" s="96" t="s">
        <v>1008</v>
      </c>
      <c r="B70" s="96"/>
      <c r="C70" s="96" t="s">
        <v>1005</v>
      </c>
      <c r="D70" s="100" t="n">
        <f aca="false">SUMIFS(Pre_GEM_Consumables!$J$2:$J$110,Pre_GEM_Consumables!$C$2:$C$110,A70,Pre_GEM_Consumables!$G$2:$G$110,C70,Pre_GEM_Consumables!$B$2:$B$110,"Item")+SUMIFS(Post_GEM_Consumables!$J$2:$J$97,Post_GEM_Consumables!$C$2:$C$97,A70,Post_GEM_Consumables!$G$2:$G$97,C70,Post_GEM_Consumables!$B$2:$B$97,"Item")</f>
        <v>28.6</v>
      </c>
      <c r="E70" s="108" t="n">
        <f aca="false">IF(ISNUMBER(MATCH(C70,{"tube","each","plate","vial","kit","bottle","aliquot","strainer","cap","lane-rxn","tip","strip","lane","channel","library","sample"},0)),ROUNDUP(D70,0),ROUND(D70,2))</f>
        <v>29</v>
      </c>
      <c r="F70" s="109" t="n">
        <f aca="false">SUMIFS(Pre_GEM_Consumables!$N$2:$N$110,Pre_GEM_Consumables!$C$2:$C$110,A70,Pre_GEM_Consumables!$G$2:$G$110,C70)+SUMIFS(Post_GEM_Consumables!$N$2:$N$97,Post_GEM_Consumables!$C$2:$C$97,A70,Post_GEM_Consumables!$G$2:$G$97,C70)</f>
        <v>0</v>
      </c>
    </row>
    <row r="71" customFormat="false" ht="15" hidden="false" customHeight="true" outlineLevel="0" collapsed="false">
      <c r="A71" s="96" t="s">
        <v>1012</v>
      </c>
      <c r="B71" s="96"/>
      <c r="C71" s="96" t="s">
        <v>397</v>
      </c>
      <c r="D71" s="100" t="n">
        <f aca="false">SUMIFS(Pre_GEM_Consumables!$J$2:$J$110,Pre_GEM_Consumables!$C$2:$C$110,A71,Pre_GEM_Consumables!$G$2:$G$110,C71,Pre_GEM_Consumables!$B$2:$B$110,"Item")+SUMIFS(Post_GEM_Consumables!$J$2:$J$97,Post_GEM_Consumables!$C$2:$C$97,A71,Post_GEM_Consumables!$G$2:$G$97,C71,Post_GEM_Consumables!$B$2:$B$97,"Item")</f>
        <v>220</v>
      </c>
      <c r="E71" s="108" t="n">
        <f aca="false">IF(ISNUMBER(MATCH(C71,{"tube","each","plate","vial","kit","bottle","aliquot","strainer","cap","lane-rxn","tip","strip","lane","channel","library","sample"},0)),ROUNDUP(D71,0),ROUND(D71,2))</f>
        <v>220</v>
      </c>
      <c r="F71" s="109" t="n">
        <f aca="false">SUMIFS(Pre_GEM_Consumables!$N$2:$N$110,Pre_GEM_Consumables!$C$2:$C$110,A71,Pre_GEM_Consumables!$G$2:$G$110,C71)+SUMIFS(Post_GEM_Consumables!$N$2:$N$97,Post_GEM_Consumables!$C$2:$C$97,A71,Post_GEM_Consumables!$G$2:$G$97,C71)</f>
        <v>0</v>
      </c>
    </row>
    <row r="72" customFormat="false" ht="15" hidden="false" customHeight="true" outlineLevel="0" collapsed="false">
      <c r="A72" s="96" t="s">
        <v>1013</v>
      </c>
      <c r="B72" s="96"/>
      <c r="C72" s="96" t="s">
        <v>397</v>
      </c>
      <c r="D72" s="100" t="n">
        <f aca="false">SUMIFS(Pre_GEM_Consumables!$J$2:$J$110,Pre_GEM_Consumables!$C$2:$C$110,A72,Pre_GEM_Consumables!$G$2:$G$110,C72,Pre_GEM_Consumables!$B$2:$B$110,"Item")+SUMIFS(Post_GEM_Consumables!$J$2:$J$97,Post_GEM_Consumables!$C$2:$C$97,A72,Post_GEM_Consumables!$G$2:$G$97,C72,Post_GEM_Consumables!$B$2:$B$97,"Item")</f>
        <v>11</v>
      </c>
      <c r="E72" s="108" t="n">
        <f aca="false">IF(ISNUMBER(MATCH(C72,{"tube","each","plate","vial","kit","bottle","aliquot","strainer","cap","lane-rxn","tip","strip","lane","channel","library","sample"},0)),ROUNDUP(D72,0),ROUND(D72,2))</f>
        <v>11</v>
      </c>
      <c r="F72" s="109" t="n">
        <f aca="false">SUMIFS(Pre_GEM_Consumables!$N$2:$N$110,Pre_GEM_Consumables!$C$2:$C$110,A72,Pre_GEM_Consumables!$G$2:$G$110,C72)+SUMIFS(Post_GEM_Consumables!$N$2:$N$97,Post_GEM_Consumables!$C$2:$C$97,A72,Post_GEM_Consumables!$G$2:$G$97,C72)</f>
        <v>0</v>
      </c>
    </row>
    <row r="73" customFormat="false" ht="15" hidden="false" customHeight="true" outlineLevel="0" collapsed="false">
      <c r="A73" s="96" t="s">
        <v>1014</v>
      </c>
      <c r="B73" s="96"/>
      <c r="C73" s="96" t="s">
        <v>397</v>
      </c>
      <c r="D73" s="100" t="n">
        <f aca="false">SUMIFS(Pre_GEM_Consumables!$J$2:$J$110,Pre_GEM_Consumables!$C$2:$C$110,A73,Pre_GEM_Consumables!$G$2:$G$110,C73,Pre_GEM_Consumables!$B$2:$B$110,"Item")+SUMIFS(Post_GEM_Consumables!$J$2:$J$97,Post_GEM_Consumables!$C$2:$C$97,A73,Post_GEM_Consumables!$G$2:$G$97,C73,Post_GEM_Consumables!$B$2:$B$97,"Item")</f>
        <v>11</v>
      </c>
      <c r="E73" s="108" t="n">
        <f aca="false">IF(ISNUMBER(MATCH(C73,{"tube","each","plate","vial","kit","bottle","aliquot","strainer","cap","lane-rxn","tip","strip","lane","channel","library","sample"},0)),ROUNDUP(D73,0),ROUND(D73,2))</f>
        <v>11</v>
      </c>
      <c r="F73" s="109" t="n">
        <f aca="false">SUMIFS(Pre_GEM_Consumables!$N$2:$N$110,Pre_GEM_Consumables!$C$2:$C$110,A73,Pre_GEM_Consumables!$G$2:$G$110,C73)+SUMIFS(Post_GEM_Consumables!$N$2:$N$97,Post_GEM_Consumables!$C$2:$C$97,A73,Post_GEM_Consumables!$G$2:$G$97,C73)</f>
        <v>0</v>
      </c>
    </row>
    <row r="75" customFormat="false" ht="15" hidden="false" customHeight="true" outlineLevel="0" collapsed="false">
      <c r="A75" s="110" t="s">
        <v>1038</v>
      </c>
      <c r="F75" s="111" t="n">
        <f aca="false">SUM(F2:F73)</f>
        <v>30967.2078079393</v>
      </c>
    </row>
  </sheetData>
  <autoFilter ref="A1:F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false" showRowColHeaders="true" showZeros="true" rightToLeft="false" tabSelected="false" showOutlineSymbols="true" defaultGridColor="true" view="normal" topLeftCell="A38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3" min="3" style="1" width="8"/>
    <col collapsed="false" customWidth="true" hidden="false" outlineLevel="0" max="4" min="4" style="1" width="20"/>
  </cols>
  <sheetData>
    <row r="1" customFormat="false" ht="19.5" hidden="false" customHeight="true" outlineLevel="0" collapsed="false">
      <c r="A1" s="2" t="s">
        <v>1039</v>
      </c>
    </row>
    <row r="2" customFormat="false" ht="15" hidden="false" customHeight="true" outlineLevel="0" collapsed="false">
      <c r="A2" s="3" t="s">
        <v>1040</v>
      </c>
    </row>
    <row r="4" customFormat="false" ht="15" hidden="false" customHeight="true" outlineLevel="0" collapsed="false">
      <c r="A4" s="112" t="s">
        <v>897</v>
      </c>
      <c r="D4" s="113" t="s">
        <v>1041</v>
      </c>
    </row>
    <row r="5" customFormat="false" ht="15" hidden="false" customHeight="true" outlineLevel="0" collapsed="false">
      <c r="A5" s="114" t="s">
        <v>1042</v>
      </c>
      <c r="B5" s="114" t="s">
        <v>1043</v>
      </c>
      <c r="C5" s="114" t="s">
        <v>884</v>
      </c>
    </row>
    <row r="6" customFormat="false" ht="15" hidden="false" customHeight="true" outlineLevel="0" collapsed="false">
      <c r="A6" s="5" t="s">
        <v>1044</v>
      </c>
      <c r="B6" s="115" t="n">
        <v>1</v>
      </c>
      <c r="C6" s="116" t="s">
        <v>337</v>
      </c>
    </row>
    <row r="7" customFormat="false" ht="15" hidden="false" customHeight="true" outlineLevel="0" collapsed="false">
      <c r="A7" s="5" t="s">
        <v>1045</v>
      </c>
      <c r="B7" s="115" t="n">
        <v>0.01</v>
      </c>
      <c r="C7" s="116" t="s">
        <v>337</v>
      </c>
    </row>
    <row r="9" customFormat="false" ht="15" hidden="false" customHeight="true" outlineLevel="0" collapsed="false">
      <c r="A9" s="112" t="s">
        <v>900</v>
      </c>
      <c r="D9" s="113" t="s">
        <v>1041</v>
      </c>
    </row>
    <row r="10" customFormat="false" ht="15" hidden="false" customHeight="true" outlineLevel="0" collapsed="false">
      <c r="A10" s="114" t="s">
        <v>1042</v>
      </c>
      <c r="B10" s="114" t="s">
        <v>1043</v>
      </c>
      <c r="C10" s="114" t="s">
        <v>884</v>
      </c>
    </row>
    <row r="11" customFormat="false" ht="15" hidden="false" customHeight="true" outlineLevel="0" collapsed="false">
      <c r="A11" s="5" t="s">
        <v>1044</v>
      </c>
      <c r="B11" s="115" t="n">
        <v>1</v>
      </c>
      <c r="C11" s="116" t="s">
        <v>337</v>
      </c>
    </row>
    <row r="12" customFormat="false" ht="15" hidden="false" customHeight="true" outlineLevel="0" collapsed="false">
      <c r="A12" s="5" t="s">
        <v>1045</v>
      </c>
      <c r="B12" s="115" t="n">
        <v>0.0025</v>
      </c>
      <c r="C12" s="116" t="s">
        <v>337</v>
      </c>
    </row>
    <row r="14" customFormat="false" ht="15" hidden="false" customHeight="true" outlineLevel="0" collapsed="false">
      <c r="A14" s="112" t="s">
        <v>915</v>
      </c>
      <c r="D14" s="113" t="s">
        <v>1041</v>
      </c>
    </row>
    <row r="15" customFormat="false" ht="15" hidden="false" customHeight="true" outlineLevel="0" collapsed="false">
      <c r="A15" s="114" t="s">
        <v>1042</v>
      </c>
      <c r="B15" s="114" t="s">
        <v>1043</v>
      </c>
      <c r="C15" s="114" t="s">
        <v>884</v>
      </c>
    </row>
    <row r="16" customFormat="false" ht="15" hidden="false" customHeight="true" outlineLevel="0" collapsed="false">
      <c r="A16" s="5" t="s">
        <v>468</v>
      </c>
      <c r="B16" s="115" t="n">
        <v>0.02</v>
      </c>
      <c r="C16" s="116" t="s">
        <v>404</v>
      </c>
    </row>
    <row r="17" customFormat="false" ht="15" hidden="false" customHeight="true" outlineLevel="0" collapsed="false">
      <c r="A17" s="5" t="s">
        <v>921</v>
      </c>
      <c r="B17" s="115" t="n">
        <v>1</v>
      </c>
      <c r="C17" s="116" t="s">
        <v>337</v>
      </c>
    </row>
    <row r="19" customFormat="false" ht="15" hidden="false" customHeight="true" outlineLevel="0" collapsed="false">
      <c r="A19" s="112" t="s">
        <v>939</v>
      </c>
      <c r="D19" s="113" t="s">
        <v>1041</v>
      </c>
    </row>
    <row r="20" customFormat="false" ht="15" hidden="false" customHeight="true" outlineLevel="0" collapsed="false">
      <c r="A20" s="114" t="s">
        <v>1042</v>
      </c>
      <c r="B20" s="114" t="s">
        <v>1043</v>
      </c>
      <c r="C20" s="114" t="s">
        <v>884</v>
      </c>
    </row>
    <row r="21" customFormat="false" ht="15" hidden="false" customHeight="true" outlineLevel="0" collapsed="false">
      <c r="A21" s="5" t="s">
        <v>502</v>
      </c>
      <c r="B21" s="115" t="n">
        <v>0.5</v>
      </c>
      <c r="C21" s="116" t="s">
        <v>337</v>
      </c>
    </row>
    <row r="22" customFormat="false" ht="15" hidden="false" customHeight="true" outlineLevel="0" collapsed="false">
      <c r="A22" s="5" t="s">
        <v>921</v>
      </c>
      <c r="B22" s="115" t="n">
        <v>0.5</v>
      </c>
      <c r="C22" s="116" t="s">
        <v>337</v>
      </c>
    </row>
    <row r="24" customFormat="false" ht="15" hidden="false" customHeight="true" outlineLevel="0" collapsed="false">
      <c r="A24" s="112" t="s">
        <v>925</v>
      </c>
      <c r="D24" s="113" t="s">
        <v>1046</v>
      </c>
    </row>
    <row r="25" customFormat="false" ht="15" hidden="false" customHeight="true" outlineLevel="0" collapsed="false">
      <c r="A25" s="114" t="s">
        <v>1042</v>
      </c>
      <c r="B25" s="114" t="s">
        <v>1047</v>
      </c>
      <c r="C25" s="114" t="s">
        <v>884</v>
      </c>
    </row>
    <row r="26" customFormat="false" ht="15" hidden="false" customHeight="true" outlineLevel="0" collapsed="false">
      <c r="A26" s="5" t="s">
        <v>439</v>
      </c>
      <c r="B26" s="115" t="n">
        <v>0.01</v>
      </c>
      <c r="C26" s="116" t="s">
        <v>397</v>
      </c>
    </row>
    <row r="27" customFormat="false" ht="15" hidden="false" customHeight="true" outlineLevel="0" collapsed="false">
      <c r="A27" s="5" t="s">
        <v>445</v>
      </c>
      <c r="B27" s="115" t="n">
        <v>0.002</v>
      </c>
      <c r="C27" s="116" t="s">
        <v>397</v>
      </c>
    </row>
    <row r="28" customFormat="false" ht="15" hidden="false" customHeight="true" outlineLevel="0" collapsed="false">
      <c r="A28" s="5" t="s">
        <v>451</v>
      </c>
      <c r="B28" s="115" t="n">
        <v>0.003</v>
      </c>
      <c r="C28" s="116" t="s">
        <v>397</v>
      </c>
    </row>
    <row r="29" customFormat="false" ht="15" hidden="false" customHeight="true" outlineLevel="0" collapsed="false">
      <c r="A29" s="5" t="s">
        <v>1048</v>
      </c>
      <c r="B29" s="115" t="n">
        <v>0.01</v>
      </c>
      <c r="C29" s="116" t="s">
        <v>397</v>
      </c>
    </row>
    <row r="30" customFormat="false" ht="15" hidden="false" customHeight="true" outlineLevel="0" collapsed="false">
      <c r="A30" s="5" t="s">
        <v>461</v>
      </c>
      <c r="B30" s="115" t="n">
        <v>0.002</v>
      </c>
      <c r="C30" s="116" t="s">
        <v>397</v>
      </c>
    </row>
    <row r="31" customFormat="false" ht="15" hidden="false" customHeight="true" outlineLevel="0" collapsed="false">
      <c r="A31" s="5" t="s">
        <v>1049</v>
      </c>
      <c r="B31" s="115" t="n">
        <v>0.01</v>
      </c>
      <c r="C31" s="116" t="s">
        <v>397</v>
      </c>
    </row>
    <row r="32" customFormat="false" ht="15" hidden="false" customHeight="true" outlineLevel="0" collapsed="false">
      <c r="A32" s="5" t="s">
        <v>1050</v>
      </c>
      <c r="B32" s="115" t="n">
        <v>0.1</v>
      </c>
      <c r="C32" s="116" t="s">
        <v>397</v>
      </c>
    </row>
    <row r="33" customFormat="false" ht="15" hidden="false" customHeight="true" outlineLevel="0" collapsed="false">
      <c r="A33" s="5" t="s">
        <v>1051</v>
      </c>
      <c r="B33" s="115" t="n">
        <v>0.863</v>
      </c>
      <c r="C33" s="116" t="s">
        <v>397</v>
      </c>
    </row>
    <row r="35" customFormat="false" ht="15" hidden="false" customHeight="true" outlineLevel="0" collapsed="false">
      <c r="A35" s="112" t="s">
        <v>926</v>
      </c>
      <c r="D35" s="113" t="s">
        <v>1046</v>
      </c>
    </row>
    <row r="36" customFormat="false" ht="15" hidden="false" customHeight="true" outlineLevel="0" collapsed="false">
      <c r="A36" s="114" t="s">
        <v>1042</v>
      </c>
      <c r="B36" s="114" t="s">
        <v>1047</v>
      </c>
      <c r="C36" s="114" t="s">
        <v>884</v>
      </c>
    </row>
    <row r="37" customFormat="false" ht="15" hidden="false" customHeight="true" outlineLevel="0" collapsed="false">
      <c r="A37" s="5" t="s">
        <v>439</v>
      </c>
      <c r="B37" s="115" t="n">
        <v>0.01</v>
      </c>
      <c r="C37" s="116" t="s">
        <v>397</v>
      </c>
    </row>
    <row r="38" customFormat="false" ht="15" hidden="false" customHeight="true" outlineLevel="0" collapsed="false">
      <c r="A38" s="5" t="s">
        <v>445</v>
      </c>
      <c r="B38" s="115" t="n">
        <v>0.002</v>
      </c>
      <c r="C38" s="116" t="s">
        <v>397</v>
      </c>
    </row>
    <row r="39" customFormat="false" ht="15" hidden="false" customHeight="true" outlineLevel="0" collapsed="false">
      <c r="A39" s="5" t="s">
        <v>451</v>
      </c>
      <c r="B39" s="115" t="n">
        <v>0.003</v>
      </c>
      <c r="C39" s="116" t="s">
        <v>397</v>
      </c>
    </row>
    <row r="40" customFormat="false" ht="15" hidden="false" customHeight="true" outlineLevel="0" collapsed="false">
      <c r="A40" s="5" t="s">
        <v>1050</v>
      </c>
      <c r="B40" s="115" t="n">
        <v>0.1</v>
      </c>
      <c r="C40" s="116" t="s">
        <v>397</v>
      </c>
    </row>
    <row r="41" customFormat="false" ht="15" hidden="false" customHeight="true" outlineLevel="0" collapsed="false">
      <c r="A41" s="5" t="s">
        <v>1051</v>
      </c>
      <c r="B41" s="115" t="n">
        <v>0.885</v>
      </c>
      <c r="C41" s="116" t="s">
        <v>397</v>
      </c>
    </row>
    <row r="43" customFormat="false" ht="15" hidden="false" customHeight="true" outlineLevel="0" collapsed="false">
      <c r="A43" s="112" t="s">
        <v>927</v>
      </c>
      <c r="D43" s="113" t="s">
        <v>1046</v>
      </c>
    </row>
    <row r="44" customFormat="false" ht="15" hidden="false" customHeight="true" outlineLevel="0" collapsed="false">
      <c r="A44" s="114" t="s">
        <v>1042</v>
      </c>
      <c r="B44" s="114" t="s">
        <v>1047</v>
      </c>
      <c r="C44" s="114" t="s">
        <v>884</v>
      </c>
    </row>
    <row r="45" customFormat="false" ht="15" hidden="false" customHeight="true" outlineLevel="0" collapsed="false">
      <c r="A45" s="5" t="s">
        <v>1052</v>
      </c>
      <c r="B45" s="115" t="n">
        <v>0.05</v>
      </c>
      <c r="C45" s="116" t="s">
        <v>397</v>
      </c>
    </row>
    <row r="46" customFormat="false" ht="15" hidden="false" customHeight="true" outlineLevel="0" collapsed="false">
      <c r="A46" s="5" t="s">
        <v>1051</v>
      </c>
      <c r="B46" s="115" t="n">
        <v>0.95</v>
      </c>
      <c r="C46" s="116" t="s">
        <v>397</v>
      </c>
    </row>
    <row r="48" customFormat="false" ht="15" hidden="false" customHeight="true" outlineLevel="0" collapsed="false">
      <c r="A48" s="112" t="s">
        <v>940</v>
      </c>
      <c r="D48" s="113" t="s">
        <v>1041</v>
      </c>
    </row>
    <row r="49" customFormat="false" ht="15" hidden="false" customHeight="true" outlineLevel="0" collapsed="false">
      <c r="A49" s="114" t="s">
        <v>1042</v>
      </c>
      <c r="B49" s="114" t="s">
        <v>1043</v>
      </c>
      <c r="C49" s="114" t="s">
        <v>884</v>
      </c>
    </row>
    <row r="50" customFormat="false" ht="15" hidden="false" customHeight="true" outlineLevel="0" collapsed="false">
      <c r="A50" s="5" t="s">
        <v>945</v>
      </c>
      <c r="B50" s="115" t="n">
        <v>1</v>
      </c>
      <c r="C50" s="116" t="s">
        <v>397</v>
      </c>
    </row>
    <row r="51" customFormat="false" ht="15" hidden="false" customHeight="true" outlineLevel="0" collapsed="false">
      <c r="A51" s="5" t="s">
        <v>921</v>
      </c>
      <c r="B51" s="115" t="n">
        <v>0.999</v>
      </c>
      <c r="C51" s="116" t="s">
        <v>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12"/>
  </cols>
  <sheetData>
    <row r="1" customFormat="false" ht="18.75" hidden="false" customHeight="true" outlineLevel="0" collapsed="false">
      <c r="A1" s="16" t="s">
        <v>1053</v>
      </c>
    </row>
    <row r="2" customFormat="false" ht="42.75" hidden="false" customHeight="true" outlineLevel="0" collapsed="false">
      <c r="A2" s="117" t="s">
        <v>1054</v>
      </c>
      <c r="B2" s="117"/>
      <c r="C2" s="117"/>
      <c r="D2" s="117"/>
    </row>
    <row r="4" customFormat="false" ht="14.25" hidden="false" customHeight="true" outlineLevel="0" collapsed="false">
      <c r="A4" s="4" t="s">
        <v>884</v>
      </c>
      <c r="B4" s="4" t="s">
        <v>1055</v>
      </c>
      <c r="C4" s="4" t="s">
        <v>1056</v>
      </c>
    </row>
    <row r="5" customFormat="false" ht="14.25" hidden="false" customHeight="true" outlineLevel="0" collapsed="false">
      <c r="A5" s="5" t="s">
        <v>397</v>
      </c>
      <c r="B5" s="5" t="n">
        <v>1</v>
      </c>
      <c r="C5" s="5" t="s">
        <v>1057</v>
      </c>
    </row>
    <row r="6" customFormat="false" ht="14.25" hidden="false" customHeight="true" outlineLevel="0" collapsed="false">
      <c r="A6" s="5" t="s">
        <v>337</v>
      </c>
      <c r="B6" s="5" t="n">
        <v>1000</v>
      </c>
      <c r="C6" s="5" t="s">
        <v>1057</v>
      </c>
    </row>
    <row r="7" customFormat="false" ht="14.25" hidden="false" customHeight="true" outlineLevel="0" collapsed="false">
      <c r="A7" s="5" t="s">
        <v>1058</v>
      </c>
      <c r="B7" s="5" t="n">
        <v>1000000</v>
      </c>
      <c r="C7" s="5" t="s">
        <v>1057</v>
      </c>
    </row>
    <row r="8" customFormat="false" ht="14.25" hidden="false" customHeight="true" outlineLevel="0" collapsed="false">
      <c r="A8" s="5" t="s">
        <v>488</v>
      </c>
      <c r="B8" s="5" t="n">
        <v>1</v>
      </c>
      <c r="C8" s="5" t="s">
        <v>1059</v>
      </c>
    </row>
    <row r="9" customFormat="false" ht="14.25" hidden="false" customHeight="true" outlineLevel="0" collapsed="false">
      <c r="A9" s="5" t="s">
        <v>404</v>
      </c>
      <c r="B9" s="5" t="n">
        <v>1000</v>
      </c>
      <c r="C9" s="5" t="s">
        <v>1059</v>
      </c>
    </row>
    <row r="10" customFormat="false" ht="14.25" hidden="false" customHeight="true" outlineLevel="0" collapsed="false">
      <c r="A10" s="5" t="s">
        <v>1060</v>
      </c>
      <c r="B10" s="5" t="n">
        <v>0.001</v>
      </c>
      <c r="C10" s="5" t="s">
        <v>1059</v>
      </c>
    </row>
    <row r="11" customFormat="false" ht="14.25" hidden="false" customHeight="true" outlineLevel="0" collapsed="false">
      <c r="A11" s="5" t="s">
        <v>571</v>
      </c>
      <c r="B11" s="5" t="n">
        <v>1</v>
      </c>
      <c r="C11" s="5" t="s">
        <v>1061</v>
      </c>
    </row>
    <row r="12" customFormat="false" ht="14.25" hidden="false" customHeight="true" outlineLevel="0" collapsed="false">
      <c r="A12" s="5" t="s">
        <v>548</v>
      </c>
      <c r="B12" s="5" t="n">
        <v>1</v>
      </c>
      <c r="C12" s="5" t="s">
        <v>1061</v>
      </c>
    </row>
    <row r="13" customFormat="false" ht="14.25" hidden="false" customHeight="true" outlineLevel="0" collapsed="false">
      <c r="A13" s="5" t="s">
        <v>534</v>
      </c>
      <c r="B13" s="5" t="n">
        <v>1</v>
      </c>
      <c r="C13" s="5" t="s">
        <v>1061</v>
      </c>
    </row>
    <row r="14" customFormat="false" ht="14.25" hidden="false" customHeight="true" outlineLevel="0" collapsed="false">
      <c r="A14" s="5" t="s">
        <v>562</v>
      </c>
      <c r="B14" s="5" t="n">
        <v>1</v>
      </c>
      <c r="C14" s="5" t="s">
        <v>1061</v>
      </c>
    </row>
    <row r="15" customFormat="false" ht="14.25" hidden="false" customHeight="true" outlineLevel="0" collapsed="false">
      <c r="A15" s="5" t="s">
        <v>418</v>
      </c>
      <c r="B15" s="5" t="n">
        <v>1</v>
      </c>
      <c r="C15" s="5" t="s">
        <v>1061</v>
      </c>
    </row>
    <row r="16" customFormat="false" ht="14.25" hidden="false" customHeight="true" outlineLevel="0" collapsed="false">
      <c r="A16" s="5" t="s">
        <v>373</v>
      </c>
      <c r="B16" s="5" t="n">
        <v>1</v>
      </c>
      <c r="C16" s="5" t="s">
        <v>1061</v>
      </c>
    </row>
    <row r="17" customFormat="false" ht="14.25" hidden="false" customHeight="true" outlineLevel="0" collapsed="false">
      <c r="A17" s="5" t="s">
        <v>1033</v>
      </c>
      <c r="B17" s="5" t="n">
        <v>1</v>
      </c>
      <c r="C17" s="5" t="s">
        <v>1061</v>
      </c>
    </row>
    <row r="18" customFormat="false" ht="14.25" hidden="false" customHeight="true" outlineLevel="0" collapsed="false">
      <c r="A18" s="5" t="s">
        <v>1062</v>
      </c>
      <c r="B18" s="5" t="n">
        <v>1</v>
      </c>
      <c r="C18" s="5" t="s">
        <v>1061</v>
      </c>
    </row>
    <row r="19" customFormat="false" ht="14.25" hidden="false" customHeight="true" outlineLevel="0" collapsed="false">
      <c r="A19" s="5" t="s">
        <v>971</v>
      </c>
      <c r="B19" s="5" t="n">
        <v>1</v>
      </c>
      <c r="C19" s="5" t="s">
        <v>1061</v>
      </c>
    </row>
    <row r="20" customFormat="false" ht="14.25" hidden="false" customHeight="true" outlineLevel="0" collapsed="false">
      <c r="A20" s="5" t="s">
        <v>1005</v>
      </c>
      <c r="B20" s="5" t="n">
        <v>1</v>
      </c>
      <c r="C20" s="5" t="s">
        <v>1061</v>
      </c>
    </row>
    <row r="21" customFormat="false" ht="14.25" hidden="false" customHeight="true" outlineLevel="0" collapsed="false">
      <c r="A21" s="5" t="s">
        <v>627</v>
      </c>
      <c r="B21" s="5" t="n">
        <v>1</v>
      </c>
      <c r="C21" s="5" t="s">
        <v>1061</v>
      </c>
    </row>
    <row r="22" customFormat="false" ht="14.25" hidden="false" customHeight="true" outlineLevel="0" collapsed="false">
      <c r="A22" s="5" t="s">
        <v>912</v>
      </c>
      <c r="B22" s="5" t="n">
        <v>1</v>
      </c>
      <c r="C22" s="5" t="s">
        <v>1061</v>
      </c>
    </row>
    <row r="23" customFormat="false" ht="14.25" hidden="false" customHeight="true" outlineLevel="0" collapsed="false">
      <c r="A23" s="5" t="s">
        <v>566</v>
      </c>
      <c r="B23" s="5" t="n">
        <v>1</v>
      </c>
      <c r="C23" s="5" t="s">
        <v>1061</v>
      </c>
    </row>
    <row r="24" customFormat="false" ht="14.25" hidden="false" customHeight="true" outlineLevel="0" collapsed="false">
      <c r="A24" s="5" t="s">
        <v>1063</v>
      </c>
      <c r="B24" s="5" t="n">
        <v>1</v>
      </c>
      <c r="C24" s="5" t="s">
        <v>1061</v>
      </c>
    </row>
    <row r="25" customFormat="false" ht="14.25" hidden="false" customHeight="true" outlineLevel="0" collapsed="false">
      <c r="A25" s="5" t="s">
        <v>1064</v>
      </c>
      <c r="B25" s="5" t="n">
        <v>1</v>
      </c>
      <c r="C25" s="5" t="s">
        <v>1061</v>
      </c>
    </row>
    <row r="26" customFormat="false" ht="14.25" hidden="false" customHeight="true" outlineLevel="0" collapsed="false">
      <c r="A26" s="5" t="s">
        <v>1065</v>
      </c>
      <c r="B26" s="5" t="n">
        <v>1</v>
      </c>
      <c r="C26" s="5" t="s">
        <v>1061</v>
      </c>
    </row>
    <row r="27" customFormat="false" ht="14.25" hidden="false" customHeight="true" outlineLevel="0" collapsed="false">
      <c r="A27" s="5" t="s">
        <v>1066</v>
      </c>
      <c r="B27" s="5" t="n">
        <v>1</v>
      </c>
      <c r="C27" s="5" t="s">
        <v>1061</v>
      </c>
    </row>
    <row r="28" customFormat="false" ht="14.25" hidden="false" customHeight="true" outlineLevel="0" collapsed="false">
      <c r="A28" s="5" t="s">
        <v>379</v>
      </c>
      <c r="B28" s="5" t="n">
        <v>1</v>
      </c>
      <c r="C28" s="5" t="s">
        <v>379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3" min="3" style="1" width="32"/>
    <col collapsed="false" customWidth="true" hidden="false" outlineLevel="0" max="5" min="4" style="1" width="16"/>
    <col collapsed="false" customWidth="true" hidden="false" outlineLevel="0" max="6" min="6" style="1" width="24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10"/>
    <col collapsed="false" customWidth="true" hidden="false" outlineLevel="0" max="10" min="10" style="1" width="16"/>
    <col collapsed="false" customWidth="true" hidden="false" outlineLevel="0" max="11" min="11" style="1" width="24"/>
  </cols>
  <sheetData>
    <row r="1" customFormat="false" ht="15" hidden="false" customHeight="true" outlineLevel="0" collapsed="false">
      <c r="A1" s="118" t="s">
        <v>1067</v>
      </c>
    </row>
    <row r="2" customFormat="false" ht="15" hidden="false" customHeight="true" outlineLevel="0" collapsed="false">
      <c r="A2" s="1" t="s">
        <v>1068</v>
      </c>
    </row>
    <row r="4" customFormat="false" ht="15" hidden="false" customHeight="true" outlineLevel="0" collapsed="false">
      <c r="A4" s="119" t="s">
        <v>322</v>
      </c>
      <c r="B4" s="119" t="s">
        <v>323</v>
      </c>
      <c r="C4" s="119" t="s">
        <v>324</v>
      </c>
      <c r="D4" s="119" t="s">
        <v>325</v>
      </c>
      <c r="E4" s="119" t="s">
        <v>326</v>
      </c>
      <c r="F4" s="119" t="s">
        <v>126</v>
      </c>
      <c r="G4" s="119" t="s">
        <v>327</v>
      </c>
      <c r="H4" s="119" t="s">
        <v>328</v>
      </c>
      <c r="I4" s="119" t="s">
        <v>329</v>
      </c>
      <c r="J4" s="119" t="s">
        <v>330</v>
      </c>
      <c r="K4" s="119" t="s">
        <v>331</v>
      </c>
    </row>
    <row r="5" customFormat="false" ht="15" hidden="false" customHeight="true" outlineLevel="0" collapsed="false">
      <c r="A5" s="1" t="s">
        <v>1069</v>
      </c>
    </row>
    <row r="6" customFormat="false" ht="15" hidden="false" customHeight="true" outlineLevel="0" collapsed="false">
      <c r="A6" s="1" t="s">
        <v>1070</v>
      </c>
    </row>
    <row r="7" customFormat="false" ht="15" hidden="false" customHeight="true" outlineLevel="0" collapsed="false">
      <c r="A7" s="1" t="s">
        <v>934</v>
      </c>
    </row>
    <row r="8" customFormat="false" ht="15" hidden="false" customHeight="true" outlineLevel="0" collapsed="false">
      <c r="A8" s="1" t="s">
        <v>1071</v>
      </c>
    </row>
    <row r="9" customFormat="false" ht="15" hidden="false" customHeight="true" outlineLevel="0" collapsed="false">
      <c r="A9" s="1" t="s">
        <v>1072</v>
      </c>
    </row>
    <row r="10" customFormat="false" ht="15" hidden="false" customHeight="true" outlineLevel="0" collapsed="false">
      <c r="A10" s="1" t="s">
        <v>1073</v>
      </c>
    </row>
    <row r="11" customFormat="false" ht="15" hidden="false" customHeight="true" outlineLevel="0" collapsed="false">
      <c r="A11" s="1" t="s">
        <v>1074</v>
      </c>
    </row>
    <row r="12" customFormat="false" ht="15" hidden="false" customHeight="true" outlineLevel="0" collapsed="false">
      <c r="A12" s="1" t="s">
        <v>1075</v>
      </c>
    </row>
    <row r="13" customFormat="false" ht="15" hidden="false" customHeight="true" outlineLevel="0" collapsed="false">
      <c r="A13" s="1" t="s">
        <v>1076</v>
      </c>
    </row>
    <row r="14" customFormat="false" ht="15" hidden="false" customHeight="true" outlineLevel="0" collapsed="false">
      <c r="A14" s="1" t="s">
        <v>1077</v>
      </c>
    </row>
    <row r="15" customFormat="false" ht="15" hidden="false" customHeight="true" outlineLevel="0" collapsed="false">
      <c r="A15" s="1" t="s">
        <v>1078</v>
      </c>
    </row>
    <row r="16" customFormat="false" ht="15" hidden="false" customHeight="true" outlineLevel="0" collapsed="false">
      <c r="A16" s="1" t="s">
        <v>1079</v>
      </c>
    </row>
    <row r="17" customFormat="false" ht="15" hidden="false" customHeight="true" outlineLevel="0" collapsed="false">
      <c r="A17" s="1" t="s">
        <v>1080</v>
      </c>
    </row>
    <row r="18" customFormat="false" ht="15" hidden="false" customHeight="true" outlineLevel="0" collapsed="false">
      <c r="A18" s="1" t="s">
        <v>1081</v>
      </c>
    </row>
    <row r="19" customFormat="false" ht="15" hidden="false" customHeight="true" outlineLevel="0" collapsed="false">
      <c r="A19" s="1" t="s">
        <v>1082</v>
      </c>
    </row>
    <row r="20" customFormat="false" ht="15" hidden="false" customHeight="true" outlineLevel="0" collapsed="false">
      <c r="A20" s="1" t="s">
        <v>1083</v>
      </c>
    </row>
    <row r="21" customFormat="false" ht="15" hidden="false" customHeight="true" outlineLevel="0" collapsed="false">
      <c r="A21" s="1" t="s">
        <v>1084</v>
      </c>
    </row>
    <row r="22" customFormat="false" ht="15" hidden="false" customHeight="true" outlineLevel="0" collapsed="false">
      <c r="A22" s="1" t="s">
        <v>1085</v>
      </c>
    </row>
    <row r="23" customFormat="false" ht="15" hidden="false" customHeight="true" outlineLevel="0" collapsed="false">
      <c r="A23" s="1" t="s">
        <v>1086</v>
      </c>
    </row>
    <row r="24" customFormat="false" ht="15" hidden="false" customHeight="true" outlineLevel="0" collapsed="false">
      <c r="A24" s="1" t="s">
        <v>1087</v>
      </c>
    </row>
    <row r="25" customFormat="false" ht="15" hidden="false" customHeight="true" outlineLevel="0" collapsed="false">
      <c r="A25" s="1" t="s">
        <v>1088</v>
      </c>
    </row>
    <row r="26" customFormat="false" ht="15" hidden="false" customHeight="true" outlineLevel="0" collapsed="false">
      <c r="A26" s="1" t="s">
        <v>1089</v>
      </c>
    </row>
    <row r="27" customFormat="false" ht="15" hidden="false" customHeight="true" outlineLevel="0" collapsed="false">
      <c r="A27" s="1" t="s">
        <v>1090</v>
      </c>
    </row>
    <row r="28" customFormat="false" ht="15" hidden="false" customHeight="true" outlineLevel="0" collapsed="false">
      <c r="A28" s="1" t="s">
        <v>1091</v>
      </c>
    </row>
    <row r="29" customFormat="false" ht="15" hidden="false" customHeight="true" outlineLevel="0" collapsed="false">
      <c r="A29" s="1" t="s">
        <v>1092</v>
      </c>
    </row>
    <row r="30" customFormat="false" ht="15" hidden="false" customHeight="true" outlineLevel="0" collapsed="false">
      <c r="A30" s="1" t="s">
        <v>1093</v>
      </c>
    </row>
    <row r="31" customFormat="false" ht="15" hidden="false" customHeight="true" outlineLevel="0" collapsed="false">
      <c r="A31" s="1" t="s">
        <v>1094</v>
      </c>
    </row>
    <row r="32" customFormat="false" ht="15" hidden="false" customHeight="true" outlineLevel="0" collapsed="false">
      <c r="A32" s="1" t="s">
        <v>1095</v>
      </c>
    </row>
    <row r="33" customFormat="false" ht="15" hidden="false" customHeight="true" outlineLevel="0" collapsed="false">
      <c r="A33" s="1" t="s">
        <v>1096</v>
      </c>
    </row>
    <row r="34" customFormat="false" ht="15" hidden="false" customHeight="true" outlineLevel="0" collapsed="false">
      <c r="A34" s="1" t="s">
        <v>1097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3" min="3" style="1" width="32"/>
    <col collapsed="false" customWidth="true" hidden="false" outlineLevel="0" max="5" min="4" style="1" width="16"/>
    <col collapsed="false" customWidth="true" hidden="false" outlineLevel="0" max="6" min="6" style="1" width="24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10"/>
    <col collapsed="false" customWidth="true" hidden="false" outlineLevel="0" max="10" min="10" style="1" width="16"/>
    <col collapsed="false" customWidth="true" hidden="false" outlineLevel="0" max="11" min="11" style="1" width="24"/>
  </cols>
  <sheetData>
    <row r="1" customFormat="false" ht="15" hidden="false" customHeight="true" outlineLevel="0" collapsed="false">
      <c r="A1" s="118" t="s">
        <v>1098</v>
      </c>
    </row>
    <row r="2" customFormat="false" ht="15" hidden="false" customHeight="true" outlineLevel="0" collapsed="false">
      <c r="A2" s="1" t="s">
        <v>1099</v>
      </c>
    </row>
    <row r="4" customFormat="false" ht="15" hidden="false" customHeight="true" outlineLevel="0" collapsed="false">
      <c r="A4" s="119" t="s">
        <v>322</v>
      </c>
      <c r="B4" s="119" t="s">
        <v>323</v>
      </c>
      <c r="C4" s="119" t="s">
        <v>324</v>
      </c>
      <c r="D4" s="119" t="s">
        <v>325</v>
      </c>
      <c r="E4" s="119" t="s">
        <v>326</v>
      </c>
      <c r="F4" s="119" t="s">
        <v>126</v>
      </c>
      <c r="G4" s="119" t="s">
        <v>327</v>
      </c>
      <c r="H4" s="119" t="s">
        <v>328</v>
      </c>
      <c r="I4" s="119" t="s">
        <v>329</v>
      </c>
      <c r="J4" s="119" t="s">
        <v>330</v>
      </c>
      <c r="K4" s="119" t="s">
        <v>331</v>
      </c>
    </row>
    <row r="5" customFormat="false" ht="15" hidden="false" customHeight="true" outlineLevel="0" collapsed="false">
      <c r="A5" s="1" t="s">
        <v>1100</v>
      </c>
    </row>
    <row r="6" customFormat="false" ht="15" hidden="false" customHeight="true" outlineLevel="0" collapsed="false">
      <c r="A6" s="1" t="s">
        <v>1101</v>
      </c>
    </row>
    <row r="7" customFormat="false" ht="15" hidden="false" customHeight="true" outlineLevel="0" collapsed="false">
      <c r="A7" s="1" t="s">
        <v>1102</v>
      </c>
    </row>
    <row r="8" customFormat="false" ht="15" hidden="false" customHeight="true" outlineLevel="0" collapsed="false">
      <c r="A8" s="1" t="s">
        <v>1103</v>
      </c>
    </row>
    <row r="9" customFormat="false" ht="15" hidden="false" customHeight="true" outlineLevel="0" collapsed="false">
      <c r="A9" s="1" t="s">
        <v>1104</v>
      </c>
    </row>
    <row r="10" customFormat="false" ht="15" hidden="false" customHeight="true" outlineLevel="0" collapsed="false">
      <c r="A10" s="1" t="s">
        <v>1105</v>
      </c>
    </row>
    <row r="11" customFormat="false" ht="15" hidden="false" customHeight="true" outlineLevel="0" collapsed="false">
      <c r="A11" s="1" t="s">
        <v>1106</v>
      </c>
    </row>
    <row r="12" customFormat="false" ht="15" hidden="false" customHeight="true" outlineLevel="0" collapsed="false">
      <c r="A12" s="1" t="s">
        <v>1107</v>
      </c>
    </row>
    <row r="13" customFormat="false" ht="15" hidden="false" customHeight="true" outlineLevel="0" collapsed="false">
      <c r="A13" s="1" t="s">
        <v>1108</v>
      </c>
    </row>
    <row r="14" customFormat="false" ht="15" hidden="false" customHeight="true" outlineLevel="0" collapsed="false">
      <c r="A14" s="1" t="s">
        <v>1109</v>
      </c>
    </row>
    <row r="15" customFormat="false" ht="15" hidden="false" customHeight="true" outlineLevel="0" collapsed="false">
      <c r="A15" s="1" t="s">
        <v>1110</v>
      </c>
    </row>
    <row r="16" customFormat="false" ht="15" hidden="false" customHeight="true" outlineLevel="0" collapsed="false">
      <c r="A16" s="1" t="s">
        <v>1111</v>
      </c>
    </row>
    <row r="17" customFormat="false" ht="15" hidden="false" customHeight="true" outlineLevel="0" collapsed="false">
      <c r="A17" s="1" t="s">
        <v>1112</v>
      </c>
    </row>
    <row r="18" customFormat="false" ht="15" hidden="false" customHeight="true" outlineLevel="0" collapsed="false">
      <c r="A18" s="1" t="s">
        <v>1113</v>
      </c>
    </row>
    <row r="19" customFormat="false" ht="15" hidden="false" customHeight="true" outlineLevel="0" collapsed="false">
      <c r="A19" s="1" t="s">
        <v>1114</v>
      </c>
    </row>
    <row r="20" customFormat="false" ht="15" hidden="false" customHeight="true" outlineLevel="0" collapsed="false">
      <c r="A20" s="1" t="s">
        <v>1115</v>
      </c>
    </row>
    <row r="21" customFormat="false" ht="15" hidden="false" customHeight="true" outlineLevel="0" collapsed="false">
      <c r="A21" s="1" t="s">
        <v>1116</v>
      </c>
    </row>
    <row r="22" customFormat="false" ht="15" hidden="false" customHeight="true" outlineLevel="0" collapsed="false">
      <c r="A22" s="1" t="s">
        <v>1117</v>
      </c>
    </row>
    <row r="23" customFormat="false" ht="15" hidden="false" customHeight="true" outlineLevel="0" collapsed="false">
      <c r="A23" s="1" t="s">
        <v>1118</v>
      </c>
    </row>
    <row r="24" customFormat="false" ht="15" hidden="false" customHeight="true" outlineLevel="0" collapsed="false">
      <c r="A24" s="1" t="s">
        <v>1119</v>
      </c>
    </row>
    <row r="25" customFormat="false" ht="15" hidden="false" customHeight="true" outlineLevel="0" collapsed="false">
      <c r="A25" s="1" t="s">
        <v>1120</v>
      </c>
    </row>
    <row r="26" customFormat="false" ht="15" hidden="false" customHeight="true" outlineLevel="0" collapsed="false">
      <c r="A26" s="1" t="s">
        <v>1121</v>
      </c>
    </row>
    <row r="27" customFormat="false" ht="15" hidden="false" customHeight="true" outlineLevel="0" collapsed="false">
      <c r="A27" s="1" t="s">
        <v>1122</v>
      </c>
    </row>
    <row r="28" customFormat="false" ht="15" hidden="false" customHeight="true" outlineLevel="0" collapsed="false">
      <c r="A28" s="1" t="s">
        <v>1123</v>
      </c>
    </row>
    <row r="29" customFormat="false" ht="15" hidden="false" customHeight="true" outlineLevel="0" collapsed="false">
      <c r="A29" s="1" t="s">
        <v>1124</v>
      </c>
    </row>
    <row r="30" customFormat="false" ht="15" hidden="false" customHeight="true" outlineLevel="0" collapsed="false">
      <c r="A30" s="1" t="s">
        <v>1125</v>
      </c>
    </row>
    <row r="31" customFormat="false" ht="15" hidden="false" customHeight="true" outlineLevel="0" collapsed="false">
      <c r="A31" s="1" t="s">
        <v>1126</v>
      </c>
    </row>
    <row r="32" customFormat="false" ht="15" hidden="false" customHeight="true" outlineLevel="0" collapsed="false">
      <c r="A32" s="1" t="s">
        <v>1127</v>
      </c>
    </row>
    <row r="33" customFormat="false" ht="15" hidden="false" customHeight="true" outlineLevel="0" collapsed="false">
      <c r="A33" s="1" t="s">
        <v>1128</v>
      </c>
    </row>
    <row r="34" customFormat="false" ht="15" hidden="false" customHeight="true" outlineLevel="0" collapsed="false">
      <c r="A34" s="1" t="s">
        <v>1129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2026-07-01T19:41:50Z</dcterms:created>
  <dc:creator>openpyxl</dc:creator>
  <dc:description/>
  <dc:language>en-US</dc:language>
  <cp:lastModifiedBy>Helmuth, Ashley</cp:lastModifiedBy>
  <dcterms:modified xsi:type="dcterms:W3CDTF">2026-08-25T19:30:41Z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0x010100A8FFA356A5755A4D802E07C946D31F97</vt:lpwstr>
  </property>
  <property fmtid="{D5CDD505-2E9C-101B-9397-08002B2CF9AE}" pid="3" name="MediaServiceImageTags">
    <vt:lpwstr/>
  </property>
</Properties>
</file>